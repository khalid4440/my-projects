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mc:AlternateContent xmlns:mc="http://schemas.openxmlformats.org/markup-compatibility/2006">
    <mc:Choice Requires="x15">
      <x15ac:absPath xmlns:x15ac="http://schemas.microsoft.com/office/spreadsheetml/2010/11/ac" url="C:\Users\klood\OneDrive\سطح المكتب\"/>
    </mc:Choice>
  </mc:AlternateContent>
  <xr:revisionPtr revIDLastSave="0" documentId="8_{A048D690-E7CB-4C2A-A09C-9EF7AAE8F002}" xr6:coauthVersionLast="47" xr6:coauthVersionMax="47" xr10:uidLastSave="{00000000-0000-0000-0000-000000000000}"/>
  <bookViews>
    <workbookView xWindow="-110" yWindow="-110" windowWidth="25820" windowHeight="13900" xr2:uid="{00000000-000D-0000-FFFF-FFFF00000000}"/>
  </bookViews>
  <sheets>
    <sheet name="GanttChart" sheetId="9" r:id="rId1"/>
    <sheet name="GanttChartPro" sheetId="12" r:id="rId2"/>
    <sheet name="Help" sheetId="6" r:id="rId3"/>
    <sheet name="TermsOfUse" sheetId="11" r:id="rId4"/>
  </sheets>
  <definedNames>
    <definedName name="prevWBS" localSheetId="0">GanttChart!$A1048576</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9" i="9" l="1"/>
  <c r="A10" i="9" s="1"/>
  <c r="A11" i="9" s="1"/>
  <c r="A12" i="9" s="1"/>
  <c r="A13" i="9" s="1"/>
  <c r="A20" i="9"/>
  <c r="A21" i="9" s="1"/>
  <c r="A22" i="9" s="1"/>
  <c r="A23" i="9" s="1"/>
  <c r="A24" i="9" s="1"/>
  <c r="A25" i="9" s="1"/>
  <c r="I25" i="9"/>
  <c r="A15" i="9"/>
  <c r="A16" i="9" s="1"/>
  <c r="A17" i="9" s="1"/>
  <c r="A18" i="9" s="1"/>
  <c r="I19" i="9"/>
  <c r="I13" i="9"/>
  <c r="I10" i="9"/>
  <c r="F9" i="9" l="1"/>
  <c r="I9" i="9" s="1"/>
  <c r="F20" i="9"/>
  <c r="I20" i="9" s="1"/>
  <c r="F18" i="9"/>
  <c r="I18" i="9" s="1"/>
  <c r="F15" i="9"/>
  <c r="I15" i="9" s="1"/>
  <c r="K6" i="9" l="1"/>
  <c r="K4" i="9" s="1"/>
  <c r="I11" i="9" l="1"/>
  <c r="K7" i="9"/>
  <c r="I14" i="9" l="1"/>
  <c r="L6" i="9" l="1"/>
  <c r="I17" i="9" l="1"/>
  <c r="I16" i="9"/>
  <c r="I22" i="9"/>
  <c r="I21" i="9"/>
  <c r="M6" i="9"/>
  <c r="I23" i="9" l="1"/>
  <c r="N6" i="9"/>
  <c r="I24" i="9" l="1"/>
  <c r="O6" i="9"/>
  <c r="K5" i="9"/>
  <c r="I12" i="9" l="1"/>
  <c r="P6" i="9"/>
  <c r="L7" i="9"/>
  <c r="Q6" i="9" l="1"/>
  <c r="M7" i="9"/>
  <c r="R6" i="9" l="1"/>
  <c r="R4" i="9" s="1"/>
  <c r="N7" i="9"/>
  <c r="S6" i="9" l="1"/>
  <c r="O7" i="9"/>
  <c r="T6" i="9" l="1"/>
  <c r="P7" i="9"/>
  <c r="U6" i="9" l="1"/>
  <c r="Q7" i="9"/>
  <c r="V6" i="9" l="1"/>
  <c r="R7" i="9"/>
  <c r="R5"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O6" i="9" s="1"/>
  <c r="BK7" i="9"/>
  <c r="BO7" i="9" l="1"/>
  <c r="BO5" i="9"/>
  <c r="BP6" i="9"/>
  <c r="BO4" i="9"/>
  <c r="BL7" i="9"/>
  <c r="BQ6" i="9" l="1"/>
  <c r="BP7" i="9"/>
  <c r="BM7" i="9"/>
  <c r="BQ7" i="9" l="1"/>
  <c r="BR6" i="9"/>
  <c r="BN7" i="9"/>
  <c r="BR7" i="9" l="1"/>
  <c r="BS6" i="9"/>
  <c r="BS7" i="9" l="1"/>
  <c r="BT6" i="9"/>
  <c r="BT7" i="9" l="1"/>
  <c r="BU6" i="9"/>
  <c r="BV6" i="9" l="1"/>
  <c r="BU7" i="9"/>
  <c r="BV7" i="9" l="1"/>
  <c r="BV4" i="9"/>
  <c r="BV5" i="9"/>
  <c r="BW6" i="9"/>
  <c r="BW7" i="9" l="1"/>
  <c r="BX6" i="9"/>
  <c r="BX7" i="9" l="1"/>
  <c r="BY6" i="9"/>
  <c r="BY7" i="9" l="1"/>
  <c r="BZ6" i="9"/>
  <c r="CA6" i="9" l="1"/>
  <c r="BZ7" i="9"/>
  <c r="CA7" i="9" l="1"/>
  <c r="CB6" i="9"/>
  <c r="CC6" i="9" l="1"/>
  <c r="CB7" i="9"/>
  <c r="CD6" i="9" l="1"/>
  <c r="CC7" i="9"/>
  <c r="CC5" i="9"/>
  <c r="CC4" i="9"/>
  <c r="CD7" i="9" l="1"/>
  <c r="CE6" i="9"/>
  <c r="CE7" i="9" l="1"/>
  <c r="CF6" i="9"/>
  <c r="CF7" i="9" l="1"/>
  <c r="CG6" i="9"/>
  <c r="CG7" i="9" l="1"/>
  <c r="CH6" i="9"/>
  <c r="CH7" i="9" l="1"/>
  <c r="CI6" i="9"/>
  <c r="CJ6" i="9" l="1"/>
  <c r="CI7" i="9"/>
  <c r="CK6" i="9" l="1"/>
  <c r="CJ7" i="9"/>
  <c r="CJ4" i="9"/>
  <c r="CJ5" i="9"/>
  <c r="CK7" i="9" l="1"/>
  <c r="CL6" i="9"/>
  <c r="CM6" i="9" l="1"/>
  <c r="CL7" i="9"/>
  <c r="CM7" i="9" l="1"/>
  <c r="CN6" i="9"/>
  <c r="CN7" i="9" l="1"/>
  <c r="CO6" i="9"/>
  <c r="CP6" i="9" l="1"/>
  <c r="CQ6" i="9" s="1"/>
  <c r="CO7" i="9"/>
  <c r="CR6" i="9" l="1"/>
  <c r="CQ7" i="9"/>
  <c r="CQ4" i="9"/>
  <c r="CQ5" i="9"/>
  <c r="CP7" i="9"/>
  <c r="CR7" i="9" l="1"/>
  <c r="CS6" i="9"/>
  <c r="CS7" i="9" l="1"/>
  <c r="CT6" i="9"/>
  <c r="CT7" i="9" l="1"/>
  <c r="CU6" i="9"/>
  <c r="CU7" i="9" l="1"/>
  <c r="CV6" i="9"/>
  <c r="CV7" i="9" l="1"/>
  <c r="CW6" i="9"/>
  <c r="CW7" i="9" l="1"/>
  <c r="CX6" i="9"/>
  <c r="CX7" i="9" l="1"/>
  <c r="CY6" i="9"/>
  <c r="CX5" i="9"/>
  <c r="CX4" i="9"/>
  <c r="CZ6" i="9" l="1"/>
  <c r="CY7" i="9"/>
  <c r="DA6" i="9" l="1"/>
  <c r="CZ7" i="9"/>
  <c r="DA7" i="9" l="1"/>
  <c r="DB6" i="9"/>
  <c r="DC6" i="9" l="1"/>
  <c r="DB7" i="9"/>
  <c r="DD6" i="9" l="1"/>
  <c r="DC7" i="9"/>
  <c r="DE6" i="9" l="1"/>
  <c r="DD7" i="9"/>
  <c r="DE5" i="9" l="1"/>
  <c r="DE7" i="9"/>
  <c r="DF6" i="9"/>
  <c r="DE4" i="9"/>
  <c r="DF7" i="9" l="1"/>
  <c r="DG6" i="9"/>
  <c r="DH6" i="9" l="1"/>
  <c r="DG7" i="9"/>
  <c r="DI6" i="9" l="1"/>
  <c r="DH7" i="9"/>
  <c r="DI7" i="9" l="1"/>
  <c r="DJ6" i="9"/>
  <c r="DJ7" i="9" l="1"/>
  <c r="DK6" i="9"/>
  <c r="DL6" i="9" l="1"/>
  <c r="DK7" i="9"/>
  <c r="DM6" i="9" l="1"/>
  <c r="DL5" i="9"/>
  <c r="DL4" i="9"/>
  <c r="DL7" i="9"/>
  <c r="DN6" i="9" l="1"/>
  <c r="DM7" i="9"/>
  <c r="DO6" i="9" l="1"/>
  <c r="DN7" i="9"/>
  <c r="DP6" i="9" l="1"/>
  <c r="DO7" i="9"/>
  <c r="DQ6" i="9" l="1"/>
  <c r="DP7" i="9"/>
  <c r="DR6" i="9" l="1"/>
  <c r="DQ7" i="9"/>
  <c r="DS6" i="9" l="1"/>
  <c r="DR7" i="9"/>
  <c r="DT6" i="9" l="1"/>
  <c r="DS7" i="9"/>
  <c r="DS5" i="9"/>
  <c r="DS4" i="9"/>
  <c r="DU6" i="9" l="1"/>
  <c r="DT7" i="9"/>
  <c r="DV6" i="9" l="1"/>
  <c r="DU7" i="9"/>
  <c r="DW6" i="9" l="1"/>
  <c r="DV7" i="9"/>
  <c r="DX6" i="9" l="1"/>
  <c r="DW7" i="9"/>
  <c r="DY6" i="9" l="1"/>
  <c r="DX7" i="9"/>
  <c r="DZ6" i="9" l="1"/>
  <c r="DY7" i="9"/>
  <c r="EA6" i="9" l="1"/>
  <c r="DZ7" i="9"/>
  <c r="DZ4" i="9"/>
  <c r="DZ5" i="9"/>
  <c r="EA7" i="9" l="1"/>
  <c r="EB6" i="9"/>
  <c r="EB7" i="9" l="1"/>
  <c r="EC6" i="9"/>
  <c r="EC7" i="9" l="1"/>
  <c r="ED6" i="9"/>
  <c r="EE6" i="9" l="1"/>
  <c r="ED7" i="9"/>
  <c r="EE7" i="9" l="1"/>
  <c r="EF6" i="9"/>
  <c r="EG6" i="9" l="1"/>
  <c r="EF7" i="9"/>
  <c r="EG7" i="9" l="1"/>
  <c r="EH6" i="9"/>
  <c r="EG5" i="9"/>
  <c r="EG4" i="9"/>
  <c r="EH7" i="9" l="1"/>
  <c r="EI6" i="9"/>
  <c r="EJ6" i="9" l="1"/>
  <c r="EI7" i="9"/>
  <c r="EK6" i="9" l="1"/>
  <c r="EJ7" i="9"/>
  <c r="EK7" i="9" l="1"/>
  <c r="EL6" i="9"/>
  <c r="EL7" i="9" l="1"/>
  <c r="EM6" i="9"/>
  <c r="EM7" i="9" l="1"/>
  <c r="EN6" i="9"/>
  <c r="EN5" i="9" l="1"/>
  <c r="EO6" i="9"/>
  <c r="EN4" i="9"/>
  <c r="EN7" i="9"/>
  <c r="EP6" i="9" l="1"/>
  <c r="EO7" i="9"/>
  <c r="EP7" i="9" l="1"/>
  <c r="EQ6" i="9"/>
  <c r="EQ7" i="9" l="1"/>
  <c r="ER6" i="9"/>
  <c r="ES6" i="9" l="1"/>
  <c r="ER7" i="9"/>
  <c r="ES7" i="9" l="1"/>
  <c r="ET6" i="9"/>
  <c r="EU6" i="9" l="1"/>
  <c r="ET7" i="9"/>
  <c r="EU5" i="9" l="1"/>
  <c r="EU4" i="9"/>
  <c r="EV6" i="9"/>
  <c r="EU7" i="9"/>
  <c r="EW6" i="9" l="1"/>
  <c r="EV7" i="9"/>
  <c r="EW7" i="9" l="1"/>
  <c r="EX6" i="9"/>
  <c r="EX7" i="9" l="1"/>
  <c r="EY6" i="9"/>
  <c r="EZ6" i="9" l="1"/>
  <c r="EY7" i="9"/>
  <c r="EZ7" i="9" l="1"/>
  <c r="FA6" i="9"/>
  <c r="FA7" i="9" l="1"/>
  <c r="FB6" i="9"/>
  <c r="FB4" i="9" l="1"/>
  <c r="FB5" i="9"/>
  <c r="FB7" i="9"/>
  <c r="FC6" i="9"/>
  <c r="FC7" i="9" l="1"/>
  <c r="FD6" i="9"/>
  <c r="FE6" i="9" l="1"/>
  <c r="FD7" i="9"/>
  <c r="FF6" i="9" l="1"/>
  <c r="FE7" i="9"/>
  <c r="FG6" i="9" l="1"/>
  <c r="FF7" i="9"/>
  <c r="FG7" i="9" l="1"/>
  <c r="FH6" i="9"/>
  <c r="FI6" i="9" l="1"/>
  <c r="FH7" i="9"/>
  <c r="FJ6" i="9" l="1"/>
  <c r="FI5" i="9"/>
  <c r="FI4" i="9"/>
  <c r="FI7" i="9"/>
  <c r="FK6" i="9" l="1"/>
  <c r="FJ7" i="9"/>
  <c r="FL6" i="9" l="1"/>
  <c r="FK7" i="9"/>
  <c r="FL7" i="9" l="1"/>
  <c r="FM6" i="9"/>
  <c r="FM7" i="9" l="1"/>
  <c r="FN6" i="9"/>
  <c r="FN7" i="9" l="1"/>
  <c r="FO6" i="9"/>
  <c r="FO7" i="9" l="1"/>
  <c r="FP6" i="9"/>
  <c r="FP4" i="9" l="1"/>
  <c r="FP7" i="9"/>
  <c r="FQ6" i="9"/>
  <c r="FP5" i="9"/>
  <c r="FQ7" i="9" l="1"/>
  <c r="FR6" i="9"/>
  <c r="FS6" i="9" l="1"/>
  <c r="FR7" i="9"/>
  <c r="FS7" i="9" l="1"/>
  <c r="FT6" i="9"/>
  <c r="FU6" i="9" l="1"/>
  <c r="FT7" i="9"/>
  <c r="FV6" i="9" l="1"/>
  <c r="FU7" i="9"/>
  <c r="FV7" i="9" l="1"/>
  <c r="FW6" i="9"/>
  <c r="FW4" i="9" l="1"/>
  <c r="FW7" i="9"/>
  <c r="FX6" i="9"/>
  <c r="FW5" i="9"/>
  <c r="FX7" i="9" l="1"/>
  <c r="FY6" i="9"/>
  <c r="FY7" i="9" l="1"/>
  <c r="FZ6" i="9"/>
  <c r="FZ7" i="9" l="1"/>
  <c r="GA6" i="9"/>
  <c r="GA7" i="9" l="1"/>
  <c r="GB6" i="9"/>
  <c r="GB7" i="9" l="1"/>
  <c r="GC6" i="9"/>
  <c r="GC7" i="9" l="1"/>
  <c r="GD6" i="9"/>
  <c r="GD5" i="9" l="1"/>
  <c r="GD4" i="9"/>
  <c r="GD7" i="9"/>
  <c r="GE6" i="9"/>
  <c r="GE7" i="9" l="1"/>
  <c r="GF6" i="9"/>
  <c r="GF7" i="9" l="1"/>
  <c r="GG6" i="9"/>
  <c r="GG7" i="9" l="1"/>
  <c r="GH6" i="9"/>
  <c r="GH7" i="9" l="1"/>
  <c r="GI6" i="9"/>
  <c r="GI7" i="9" l="1"/>
  <c r="GJ6" i="9"/>
  <c r="GK6" i="9" l="1"/>
  <c r="GJ7" i="9"/>
  <c r="GK7" i="9" l="1"/>
  <c r="GL6" i="9"/>
  <c r="GK5" i="9"/>
  <c r="GK4" i="9"/>
  <c r="GL7" i="9" l="1"/>
  <c r="GM6" i="9"/>
  <c r="GM7" i="9" l="1"/>
  <c r="GN6" i="9"/>
  <c r="GN7" i="9" l="1"/>
  <c r="GO6" i="9"/>
  <c r="GO7" i="9" l="1"/>
  <c r="GP6" i="9"/>
  <c r="GP7" i="9" l="1"/>
  <c r="GQ6" i="9"/>
  <c r="GQ7" i="9" l="1"/>
  <c r="GR6" i="9"/>
  <c r="GR7" i="9" l="1"/>
  <c r="GR5" i="9"/>
  <c r="GR4" i="9"/>
  <c r="GS6" i="9"/>
  <c r="GS7" i="9" l="1"/>
  <c r="GT6" i="9"/>
  <c r="GT7" i="9" l="1"/>
  <c r="GU6" i="9"/>
  <c r="GV6" i="9" l="1"/>
  <c r="GU7" i="9"/>
  <c r="GV7" i="9" l="1"/>
  <c r="GW6" i="9"/>
  <c r="GW7" i="9" l="1"/>
  <c r="GX6" i="9"/>
  <c r="GX7" i="9" l="1"/>
  <c r="GY6" i="9"/>
  <c r="GY7" i="9" l="1"/>
  <c r="GY5" i="9"/>
  <c r="GY4" i="9"/>
  <c r="GZ6" i="9"/>
  <c r="GZ7" i="9" l="1"/>
  <c r="HA6" i="9"/>
  <c r="HA7" i="9" l="1"/>
  <c r="HB6" i="9"/>
  <c r="HB7" i="9" l="1"/>
  <c r="HC6" i="9"/>
  <c r="HC7" i="9" l="1"/>
  <c r="HD6" i="9"/>
  <c r="HD7" i="9" l="1"/>
  <c r="HE6" i="9"/>
  <c r="HE7" i="9" l="1"/>
  <c r="HF6" i="9"/>
  <c r="HF5" i="9" l="1"/>
  <c r="HG6" i="9"/>
  <c r="HF7" i="9"/>
  <c r="HF4" i="9"/>
  <c r="HH6" i="9" l="1"/>
  <c r="HG7" i="9"/>
  <c r="HH7" i="9" l="1"/>
  <c r="HI6" i="9"/>
  <c r="HI7" i="9" l="1"/>
  <c r="HJ6" i="9"/>
  <c r="HK6" i="9" l="1"/>
  <c r="HJ7" i="9"/>
  <c r="HK7" i="9" l="1"/>
  <c r="HL6" i="9"/>
  <c r="HL7" i="9" l="1"/>
  <c r="HM6" i="9"/>
  <c r="HM5" i="9" l="1"/>
  <c r="HM4" i="9"/>
  <c r="HM7" i="9"/>
  <c r="HN6" i="9"/>
  <c r="HN7" i="9" l="1"/>
  <c r="HO6" i="9"/>
  <c r="HO7" i="9" l="1"/>
  <c r="HP6" i="9"/>
  <c r="HP7" i="9" l="1"/>
  <c r="HQ6" i="9"/>
  <c r="HQ7" i="9" l="1"/>
  <c r="HR6" i="9"/>
  <c r="HR7" i="9" l="1"/>
  <c r="HS6" i="9"/>
  <c r="HS7" i="9" l="1"/>
  <c r="HT6" i="9"/>
  <c r="HT7" i="9" l="1"/>
  <c r="HT5" i="9"/>
  <c r="HT4" i="9"/>
  <c r="HU6" i="9"/>
  <c r="HU7" i="9" l="1"/>
  <c r="HV6" i="9"/>
  <c r="HV7" i="9" l="1"/>
  <c r="HW6" i="9"/>
  <c r="HW7" i="9" l="1"/>
  <c r="HX6" i="9"/>
  <c r="HX7" i="9" l="1"/>
  <c r="HY6" i="9"/>
  <c r="HZ6" i="9" l="1"/>
  <c r="HY7" i="9"/>
  <c r="HZ7" i="9" l="1"/>
  <c r="IA6" i="9"/>
  <c r="IB6" i="9" l="1"/>
  <c r="IA7" i="9"/>
  <c r="IA5" i="9"/>
  <c r="IA4" i="9"/>
  <c r="IB7" i="9" l="1"/>
  <c r="IC6" i="9"/>
  <c r="IC7" i="9" l="1"/>
  <c r="ID6" i="9"/>
  <c r="ID7" i="9" l="1"/>
  <c r="IE6" i="9"/>
  <c r="IE7" i="9" l="1"/>
  <c r="IF6" i="9"/>
  <c r="IF7" i="9" l="1"/>
  <c r="IG6" i="9"/>
  <c r="IG7" i="9" l="1"/>
  <c r="IH6" i="9"/>
  <c r="IH7" i="9" l="1"/>
  <c r="IH5" i="9"/>
  <c r="IH4" i="9"/>
  <c r="II6" i="9"/>
  <c r="II7" i="9" l="1"/>
  <c r="IJ6" i="9"/>
  <c r="IJ7" i="9" l="1"/>
  <c r="IK6" i="9"/>
  <c r="IK7" i="9" l="1"/>
  <c r="IL6" i="9"/>
  <c r="IL7" i="9" l="1"/>
  <c r="IM6" i="9"/>
  <c r="IM7" i="9" l="1"/>
  <c r="IN6" i="9"/>
  <c r="IN7" i="9" l="1"/>
  <c r="IO6" i="9"/>
  <c r="IO7" i="9" l="1"/>
  <c r="IO4" i="9"/>
  <c r="IO5" i="9"/>
  <c r="IP6" i="9"/>
  <c r="IQ6" i="9" l="1"/>
  <c r="IP7" i="9"/>
  <c r="IQ7" i="9" l="1"/>
  <c r="IR6" i="9"/>
  <c r="IR7" i="9" l="1"/>
  <c r="IS6" i="9"/>
  <c r="IS7" i="9" l="1"/>
  <c r="IT6" i="9"/>
  <c r="IT7" i="9" l="1"/>
  <c r="IU6" i="9"/>
  <c r="IU7" i="9" l="1"/>
  <c r="IV6" i="9"/>
  <c r="IV7" i="9" l="1"/>
  <c r="IV5" i="9"/>
  <c r="IV4" i="9"/>
  <c r="IW6" i="9"/>
  <c r="IW7" i="9" l="1"/>
  <c r="IX6" i="9"/>
  <c r="IX7" i="9" l="1"/>
  <c r="IY6" i="9"/>
  <c r="IY7" i="9" l="1"/>
  <c r="IZ6" i="9"/>
  <c r="IZ7" i="9" l="1"/>
  <c r="JA6" i="9"/>
  <c r="JA7" i="9" l="1"/>
  <c r="JB6" i="9"/>
  <c r="JB7"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B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C16" authorId="0" shapeId="0" xr:uid="{00000000-0006-0000-0200-000001000000}">
      <text>
        <r>
          <rPr>
            <sz val="8"/>
            <color indexed="81"/>
            <rFont val="Tahoma"/>
            <family val="2"/>
          </rPr>
          <t>This is an example comment.</t>
        </r>
      </text>
    </comment>
  </commentList>
</comments>
</file>

<file path=xl/sharedStrings.xml><?xml version="1.0" encoding="utf-8"?>
<sst xmlns="http://schemas.openxmlformats.org/spreadsheetml/2006/main" count="253" uniqueCount="180">
  <si>
    <t>WBS</t>
  </si>
  <si>
    <t>Input Cell</t>
  </si>
  <si>
    <t>Label</t>
  </si>
  <si>
    <t>Getting Started Tips</t>
  </si>
  <si>
    <t>FAQs</t>
  </si>
  <si>
    <t>Q:</t>
  </si>
  <si>
    <t>Creating Task Dependencies</t>
  </si>
  <si>
    <t>Changing the Color of the Bars in the Gantt Chart</t>
  </si>
  <si>
    <t>Using the Template Rows and Choosing a WBS Level</t>
  </si>
  <si>
    <t>A.</t>
  </si>
  <si>
    <t>Enter the date manually (e.g. 1/3/2015)</t>
  </si>
  <si>
    <t>B.</t>
  </si>
  <si>
    <t>Reference the Project Start Date (e.g. =$E$4 )</t>
  </si>
  <si>
    <t>C.</t>
  </si>
  <si>
    <t>Set the Start date to the next Work Day after another task's End date.</t>
  </si>
  <si>
    <t>D.</t>
  </si>
  <si>
    <t>Set the Start date to the next Calendar Day after another task's End date.</t>
  </si>
  <si>
    <t>E.</t>
  </si>
  <si>
    <t>Set the Start date to a number of days before or after another date.</t>
  </si>
  <si>
    <t>Find a row that works, then copy the cells that make up the gantt chart area from that row into the row that is messed up.</t>
  </si>
  <si>
    <t>Gantt Chart Template Pro</t>
  </si>
  <si>
    <t>Learn More About Gantt Chart Template Pro</t>
  </si>
  <si>
    <t>Benefits and Features of Gantt Chart Template Pro</t>
  </si>
  <si>
    <t xml:space="preserve"> - Start date and End date</t>
  </si>
  <si>
    <t xml:space="preserve"> - Start date and Work days</t>
  </si>
  <si>
    <t xml:space="preserve"> - Start date and Calendar days</t>
  </si>
  <si>
    <t>Easily Create Task Dependencies</t>
  </si>
  <si>
    <t>Exclude Holidays from Work Days</t>
  </si>
  <si>
    <r>
      <t>Gantt Chart Template Pro</t>
    </r>
    <r>
      <rPr>
        <sz val="10"/>
        <rFont val="Arial"/>
        <family val="2"/>
      </rPr>
      <t xml:space="preserve"> is similar to this free version, but</t>
    </r>
  </si>
  <si>
    <t>it is more feature-packed. It also comes with other bonus content.</t>
  </si>
  <si>
    <t>Use Work Days as an Input</t>
  </si>
  <si>
    <t>Customize Your Work Week</t>
  </si>
  <si>
    <t>functions that allow you define the work week as something other than Monday-Friday.</t>
  </si>
  <si>
    <t>Simple Color-Coding</t>
  </si>
  <si>
    <t>By default, the Pro version is set up to have you enter Work Days instead of Calendar Days.</t>
  </si>
  <si>
    <t>The expanded set of template rows provides more options for defining the Start date, End date,</t>
  </si>
  <si>
    <t>and Duration of tasks. Define a task based on …</t>
  </si>
  <si>
    <t>List holidays and other specific non-working days that you want to exclude from work days.</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</si>
  <si>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</si>
  <si>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</si>
  <si>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</si>
  <si>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</si>
  <si>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</si>
  <si>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Gantt Chart Template Pro for Excel Online</t>
  </si>
  <si>
    <t>Pro version for Excel Online.</t>
  </si>
  <si>
    <t>The following link is a blog post that talks specifically about the</t>
  </si>
  <si>
    <t>https://www.vertex42.com/ExcelTemplates/excel-gantt-chart.html</t>
  </si>
  <si>
    <t>https://www.vertex42.com/licensing/EULA_privateuse.html</t>
  </si>
  <si>
    <t>Learn About Gantt Chart Template Pro</t>
  </si>
  <si>
    <t>Terms of Use</t>
  </si>
  <si>
    <t>Gantt Chart Template, by Vertex42.com</t>
  </si>
  <si>
    <t>This spreadsheet template, including all worksheets and associated content is a copyrighted work under the United States and other copyright laws.</t>
  </si>
  <si>
    <r>
      <t xml:space="preserve">You may download the spreadsheet template, make archival copies, and customize the template only for your </t>
    </r>
    <r>
      <rPr>
        <b/>
        <sz val="12"/>
        <rFont val="Arial"/>
        <family val="2"/>
      </rPr>
      <t>personal use or use within your company or organization</t>
    </r>
    <r>
      <rPr>
        <sz val="12"/>
        <rFont val="Arial"/>
        <family val="2"/>
      </rPr>
      <t xml:space="preserve"> and </t>
    </r>
    <r>
      <rPr>
        <b/>
        <sz val="12"/>
        <rFont val="Arial"/>
        <family val="2"/>
      </rPr>
      <t>not</t>
    </r>
    <r>
      <rPr>
        <sz val="12"/>
        <rFont val="Arial"/>
        <family val="2"/>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</si>
  <si>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</si>
  <si>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</si>
  <si>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family val="2"/>
      </rPr>
      <t>Limited Private Sharing and Other Allowed Uses</t>
    </r>
    <r>
      <rPr>
        <sz val="12"/>
        <rFont val="Arial"/>
        <family val="2"/>
      </rPr>
      <t>: See the complete license agreement to learn more about how you may or may not use this template.</t>
    </r>
  </si>
  <si>
    <t>View the Complete License Agreement</t>
  </si>
  <si>
    <t>Watch Demo Videos of the Pro Version on Vertex42.com</t>
  </si>
  <si>
    <t>Please read the license agreement in the TermsOfUse worksheet to learn how you may or may not use and share this spreadsheet.</t>
  </si>
  <si>
    <t>TASK</t>
  </si>
  <si>
    <t>LEAD</t>
  </si>
  <si>
    <t>START</t>
  </si>
  <si>
    <t>END</t>
  </si>
  <si>
    <t>DAYS</t>
  </si>
  <si>
    <t>% DONE</t>
  </si>
  <si>
    <t>WORK DAYS</t>
  </si>
  <si>
    <t>PREDECESSOR</t>
  </si>
  <si>
    <t xml:space="preserve">Display Week </t>
  </si>
  <si>
    <t xml:space="preserve">Project Start Date </t>
  </si>
  <si>
    <t xml:space="preserve">Project Lead </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</si>
  <si>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</si>
  <si>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 Some of the labels include cell comments to provide extra information.</t>
  </si>
  <si>
    <t>• Define the task start date and duration (days) by editing the light green cells.</t>
  </si>
  <si>
    <t>• [Bracketed Text] is meant to be edited, like the project title and task descriptions.</t>
  </si>
  <si>
    <t>• If you see "#####" in a cell, widen the column to display the cell contents.</t>
  </si>
  <si>
    <t>• To adjust the range of dates shown in the Gantt chart, change the Display Week number.</t>
  </si>
  <si>
    <r>
      <t xml:space="preserve">• </t>
    </r>
    <r>
      <rPr>
        <b/>
        <sz val="11"/>
        <color rgb="FFFF0000"/>
        <rFont val="Arial"/>
        <family val="2"/>
      </rPr>
      <t>Backup</t>
    </r>
    <r>
      <rPr>
        <sz val="11"/>
        <color rgb="FFFF0000"/>
        <rFont val="Arial"/>
        <family val="2"/>
      </rPr>
      <t xml:space="preserve"> your file regularly to avoid losing data! Excel files get corrupted occasionally.</t>
    </r>
  </si>
  <si>
    <t>Inserting New Tasks (Rows)</t>
  </si>
  <si>
    <t>• Insert a new blank row by right-clicking on the row number and selecting Insert.</t>
  </si>
  <si>
    <t>• Copy a row from the set of template rows at the bottom of the worksheet.</t>
  </si>
  <si>
    <t>• With the new blank row selected, press Ctrl+d to copy the formulas and formatting down from the row above OR use the row drag handle to copy the formulas and formatting down.</t>
  </si>
  <si>
    <t>About This Template</t>
  </si>
  <si>
    <t>Be sure to read the Getting Started Tips below. Watching the video demos for Gantt Chart Template Pro may also help you see how to use the spreadsheet.</t>
  </si>
  <si>
    <t>• The Project Start Date is used to define the first week shown in the gantt chart.</t>
  </si>
  <si>
    <t>• Insert new tasks using one of the methods listed below.</t>
  </si>
  <si>
    <r>
      <t xml:space="preserve">When inserting and deleting tasks, you need to insert and delete </t>
    </r>
    <r>
      <rPr>
        <b/>
        <sz val="11"/>
        <rFont val="Arial"/>
        <family val="2"/>
      </rPr>
      <t>entire rows</t>
    </r>
    <r>
      <rPr>
        <sz val="11"/>
        <rFont val="Arial"/>
        <family val="2"/>
      </rPr>
      <t>. Some columns contain formulas (such as the End Date and the Work Days columns), so these formulas need to copied to the newly inserted rows.</t>
    </r>
  </si>
  <si>
    <t>METHOD 2</t>
  </si>
  <si>
    <t>• Right-click on the row where you want to insert the new task and select Insert Copied Cells.</t>
  </si>
  <si>
    <t>Help improve Excel by voting on a suggestion to fix this problem.</t>
  </si>
  <si>
    <t>METHOD 1 (recommended)</t>
  </si>
  <si>
    <t>You can either copy/paste/insert these template rows via Method 2 as explained above, OR you can just copy/paste the desired WBS cell when you want to change the WBS level.</t>
  </si>
  <si>
    <t>The set of template rows at the bottom of the Gantt Chart worksheet provide examples of different ways to format and define tasks for different WBS levels.</t>
  </si>
  <si>
    <t>Each different WBS level uses a different formula in the WBS column.</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</si>
  <si>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</si>
  <si>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</si>
  <si>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r>
      <t>• Use the formula =WORKDAY(</t>
    </r>
    <r>
      <rPr>
        <i/>
        <sz val="11"/>
        <rFont val="Arial"/>
        <family val="2"/>
      </rPr>
      <t>enddate</t>
    </r>
    <r>
      <rPr>
        <sz val="11"/>
        <rFont val="Arial"/>
        <family val="2"/>
      </rPr>
      <t xml:space="preserve">,1) where </t>
    </r>
    <r>
      <rPr>
        <i/>
        <sz val="11"/>
        <rFont val="Arial"/>
        <family val="2"/>
      </rPr>
      <t>enddate</t>
    </r>
    <r>
      <rPr>
        <sz val="11"/>
        <rFont val="Arial"/>
        <family val="2"/>
      </rPr>
      <t xml:space="preserve"> is the reference to the End date of a predecessor task.</t>
    </r>
  </si>
  <si>
    <r>
      <t>• For multiple predecessors, the formula would be =MAX(WORKDAY(</t>
    </r>
    <r>
      <rPr>
        <i/>
        <sz val="11"/>
        <rFont val="Arial"/>
        <family val="2"/>
      </rPr>
      <t>enddate1</t>
    </r>
    <r>
      <rPr>
        <sz val="11"/>
        <rFont val="Arial"/>
        <family val="2"/>
      </rPr>
      <t>,1),WORKDAY(</t>
    </r>
    <r>
      <rPr>
        <i/>
        <sz val="11"/>
        <rFont val="Arial"/>
        <family val="2"/>
      </rPr>
      <t>enddate2</t>
    </r>
    <r>
      <rPr>
        <sz val="11"/>
        <rFont val="Arial"/>
        <family val="2"/>
      </rPr>
      <t>,1))</t>
    </r>
  </si>
  <si>
    <r>
      <t>• This formula is very simple: =</t>
    </r>
    <r>
      <rPr>
        <i/>
        <sz val="11"/>
        <rFont val="Arial"/>
        <family val="2"/>
      </rPr>
      <t>enddate</t>
    </r>
    <r>
      <rPr>
        <sz val="11"/>
        <rFont val="Arial"/>
        <family val="2"/>
      </rPr>
      <t>+1</t>
    </r>
  </si>
  <si>
    <r>
      <t>• For multiple predecessors, the formula would be =MAX(</t>
    </r>
    <r>
      <rPr>
        <i/>
        <sz val="11"/>
        <rFont val="Arial"/>
        <family val="2"/>
      </rPr>
      <t>enddate1</t>
    </r>
    <r>
      <rPr>
        <sz val="11"/>
        <rFont val="Arial"/>
        <family val="2"/>
      </rPr>
      <t>,</t>
    </r>
    <r>
      <rPr>
        <i/>
        <sz val="11"/>
        <rFont val="Arial"/>
        <family val="2"/>
      </rPr>
      <t>enddate2</t>
    </r>
    <r>
      <rPr>
        <sz val="11"/>
        <rFont val="Arial"/>
        <family val="2"/>
      </rPr>
      <t>,</t>
    </r>
    <r>
      <rPr>
        <i/>
        <sz val="11"/>
        <rFont val="Arial"/>
        <family val="2"/>
      </rPr>
      <t>enddate3</t>
    </r>
    <r>
      <rPr>
        <sz val="11"/>
        <rFont val="Arial"/>
        <family val="2"/>
      </rPr>
      <t>)+1</t>
    </r>
  </si>
  <si>
    <r>
      <t>• This formula is just like the one in C or D, except that in place of the "1" you enter the number of days, such as =WORKDAY(</t>
    </r>
    <r>
      <rPr>
        <i/>
        <sz val="11"/>
        <rFont val="Arial"/>
        <family val="2"/>
      </rPr>
      <t>enddate</t>
    </r>
    <r>
      <rPr>
        <sz val="11"/>
        <rFont val="Arial"/>
        <family val="2"/>
      </rPr>
      <t>,5) or =WORKDAY(</t>
    </r>
    <r>
      <rPr>
        <i/>
        <sz val="11"/>
        <rFont val="Arial"/>
        <family val="2"/>
      </rPr>
      <t>startdate</t>
    </r>
    <r>
      <rPr>
        <sz val="11"/>
        <rFont val="Arial"/>
        <family val="2"/>
      </rPr>
      <t>,-5)</t>
    </r>
  </si>
  <si>
    <t>F.</t>
  </si>
  <si>
    <t>Use a lookup formula and the Predecessor column to define the start date.</t>
  </si>
  <si>
    <t>[The formulas for using this method are built into Gantt Chart Template Pro]</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</si>
  <si>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</si>
  <si>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r>
      <t xml:space="preserve">How do I enter the </t>
    </r>
    <r>
      <rPr>
        <b/>
        <sz val="11"/>
        <color theme="4" tint="-0.249977111117893"/>
        <rFont val="Arial"/>
        <family val="2"/>
      </rPr>
      <t>Work Days</t>
    </r>
    <r>
      <rPr>
        <sz val="11"/>
        <color theme="4" tint="-0.249977111117893"/>
        <rFont val="Arial"/>
        <family val="2"/>
      </rPr>
      <t xml:space="preserve"> instead of </t>
    </r>
    <r>
      <rPr>
        <b/>
        <sz val="11"/>
        <color theme="4" tint="-0.249977111117893"/>
        <rFont val="Arial"/>
        <family val="2"/>
      </rPr>
      <t>Calendar Days</t>
    </r>
    <r>
      <rPr>
        <sz val="11"/>
        <color theme="4" tint="-0.249977111117893"/>
        <rFont val="Arial"/>
        <family val="2"/>
      </rPr>
      <t>?</t>
    </r>
  </si>
  <si>
    <t>The %Complete for a group of tasks can be calculated from its sub tasks using the formula below, where "workdays" is a reference to the range of work day values and "complete" is a reference to the %complete for each of the subtasks.</t>
  </si>
  <si>
    <t>Entering work days instead of calendar days is a feature of the Pro version. There is nothing in the free version preventing you from entering your own formulas, though.</t>
  </si>
  <si>
    <r>
      <t>=SUMPRODUCT(</t>
    </r>
    <r>
      <rPr>
        <i/>
        <sz val="11"/>
        <rFont val="Arial"/>
        <family val="2"/>
      </rPr>
      <t>workdays</t>
    </r>
    <r>
      <rPr>
        <sz val="11"/>
        <rFont val="Arial"/>
        <family val="2"/>
      </rPr>
      <t>,</t>
    </r>
    <r>
      <rPr>
        <i/>
        <sz val="11"/>
        <rFont val="Arial"/>
        <family val="2"/>
      </rPr>
      <t>complete</t>
    </r>
    <r>
      <rPr>
        <sz val="11"/>
        <rFont val="Arial"/>
        <family val="2"/>
      </rPr>
      <t>)/SUM(</t>
    </r>
    <r>
      <rPr>
        <i/>
        <sz val="11"/>
        <rFont val="Arial"/>
        <family val="2"/>
      </rPr>
      <t>workdays</t>
    </r>
    <r>
      <rPr>
        <sz val="11"/>
        <rFont val="Arial"/>
        <family val="2"/>
      </rPr>
      <t>)</t>
    </r>
  </si>
  <si>
    <t>Example: Let's say you have 3 sub tasks that are 10 days, 12 days, and 14 days long, respectively. If the first subtask is 50% complete and the others are 25% complete, you could calculate the overall percent complete for the group as: =(10*50%+12*25%+14*25%)/(10+12+14).</t>
  </si>
  <si>
    <r>
      <t xml:space="preserve">How do I change the </t>
    </r>
    <r>
      <rPr>
        <b/>
        <sz val="11"/>
        <color theme="4" tint="-0.249977111117893"/>
        <rFont val="Arial"/>
        <family val="2"/>
      </rPr>
      <t>Print Settings</t>
    </r>
    <r>
      <rPr>
        <sz val="11"/>
        <color theme="4" tint="-0.249977111117893"/>
        <rFont val="Arial"/>
        <family val="2"/>
      </rPr>
      <t>? (Excel 2010, 2013)</t>
    </r>
  </si>
  <si>
    <t>You will need to add columns to the right of the Gantt Chart via copy/paste. Copy and paste the columns in groups of 7. Afterwards, you will also probably need to update the print area.</t>
  </si>
  <si>
    <r>
      <t>In the Start column, use the formula =MIN(</t>
    </r>
    <r>
      <rPr>
        <i/>
        <sz val="11"/>
        <color rgb="FF000000"/>
        <rFont val="Arial"/>
        <family val="2"/>
      </rPr>
      <t>range_of_start_dates</t>
    </r>
    <r>
      <rPr>
        <sz val="11"/>
        <color rgb="FF000000"/>
        <rFont val="Arial"/>
        <family val="2"/>
      </rPr>
      <t>)</t>
    </r>
  </si>
  <si>
    <r>
      <t>In the End column, use the formula =MAX(</t>
    </r>
    <r>
      <rPr>
        <i/>
        <sz val="11"/>
        <color rgb="FF000000"/>
        <rFont val="Arial"/>
        <family val="2"/>
      </rPr>
      <t>range_of_end_dates</t>
    </r>
    <r>
      <rPr>
        <sz val="11"/>
        <color rgb="FF000000"/>
        <rFont val="Arial"/>
        <family val="2"/>
      </rPr>
      <t>)</t>
    </r>
  </si>
  <si>
    <r>
      <t>In the Days column, use the formula =</t>
    </r>
    <r>
      <rPr>
        <i/>
        <sz val="11"/>
        <color rgb="FF000000"/>
        <rFont val="Arial"/>
        <family val="2"/>
      </rPr>
      <t>end_date</t>
    </r>
    <r>
      <rPr>
        <sz val="11"/>
        <color rgb="FF000000"/>
        <rFont val="Arial"/>
        <family val="2"/>
      </rPr>
      <t>-</t>
    </r>
    <r>
      <rPr>
        <i/>
        <sz val="11"/>
        <color rgb="FF000000"/>
        <rFont val="Arial"/>
        <family val="2"/>
      </rPr>
      <t>start_date</t>
    </r>
    <r>
      <rPr>
        <sz val="11"/>
        <color rgb="FF000000"/>
        <rFont val="Arial"/>
        <family val="2"/>
      </rPr>
      <t>+1</t>
    </r>
  </si>
  <si>
    <t>Help</t>
  </si>
  <si>
    <r>
      <t xml:space="preserve">How do I increase the </t>
    </r>
    <r>
      <rPr>
        <b/>
        <sz val="11"/>
        <color theme="4" tint="-0.249977111117893"/>
        <rFont val="Arial"/>
        <family val="2"/>
      </rPr>
      <t>range of dates</t>
    </r>
    <r>
      <rPr>
        <sz val="11"/>
        <color theme="4" tint="-0.249977111117893"/>
        <rFont val="Arial"/>
        <family val="2"/>
      </rPr>
      <t xml:space="preserve"> displayed in the Gantt chart?</t>
    </r>
  </si>
  <si>
    <r>
      <t xml:space="preserve">How do I create a summary row that shows the </t>
    </r>
    <r>
      <rPr>
        <b/>
        <sz val="11"/>
        <color theme="4" tint="-0.249977111117893"/>
        <rFont val="Arial"/>
        <family val="2"/>
      </rPr>
      <t>MIN</t>
    </r>
    <r>
      <rPr>
        <sz val="11"/>
        <color theme="4" tint="-0.249977111117893"/>
        <rFont val="Arial"/>
        <family val="2"/>
      </rPr>
      <t xml:space="preserve"> and </t>
    </r>
    <r>
      <rPr>
        <b/>
        <sz val="11"/>
        <color theme="4" tint="-0.249977111117893"/>
        <rFont val="Arial"/>
        <family val="2"/>
      </rPr>
      <t>MAX</t>
    </r>
    <r>
      <rPr>
        <sz val="11"/>
        <color theme="4" tint="-0.249977111117893"/>
        <rFont val="Arial"/>
        <family val="2"/>
      </rPr>
      <t xml:space="preserve"> dates for all sub-tasks?</t>
    </r>
  </si>
  <si>
    <r>
      <t xml:space="preserve">How do I calculate the </t>
    </r>
    <r>
      <rPr>
        <b/>
        <sz val="11"/>
        <color theme="4" tint="-0.249977111117893"/>
        <rFont val="Arial"/>
        <family val="2"/>
      </rPr>
      <t>%Complete</t>
    </r>
    <r>
      <rPr>
        <sz val="11"/>
        <color theme="4" tint="-0.249977111117893"/>
        <rFont val="Arial"/>
        <family val="2"/>
      </rPr>
      <t xml:space="preserve"> for an entire category of tasks?</t>
    </r>
  </si>
  <si>
    <r>
      <t xml:space="preserve">I've </t>
    </r>
    <r>
      <rPr>
        <b/>
        <sz val="11"/>
        <color theme="4" tint="-0.249977111117893"/>
        <rFont val="Arial"/>
        <family val="2"/>
      </rPr>
      <t>messed up</t>
    </r>
    <r>
      <rPr>
        <sz val="11"/>
        <color theme="4" tint="-0.249977111117893"/>
        <rFont val="Arial"/>
        <family val="2"/>
      </rPr>
      <t xml:space="preserve"> the chart area somehow. How do I fix it?</t>
    </r>
  </si>
  <si>
    <t>Though you can still use your own formulas for creating task dependencies, the Pro version</t>
  </si>
  <si>
    <t>includes template rows that calculate the Start date based on the WBS number that you enter</t>
  </si>
  <si>
    <t>in the Predecessor column.</t>
  </si>
  <si>
    <t>The versions designed for Excel 2010+ use the WORKDAY.INTL() and NETWORKDAYS.INTL()</t>
  </si>
  <si>
    <r>
      <t xml:space="preserve">How do I calculate Calendar Days after entering the </t>
    </r>
    <r>
      <rPr>
        <b/>
        <sz val="11"/>
        <color theme="4" tint="-0.249977111117893"/>
        <rFont val="Arial"/>
        <family val="2"/>
      </rPr>
      <t>Start and End Dates</t>
    </r>
    <r>
      <rPr>
        <sz val="11"/>
        <color theme="4" tint="-0.249977111117893"/>
        <rFont val="Arial"/>
        <family val="2"/>
      </rPr>
      <t>?</t>
    </r>
  </si>
  <si>
    <t>Method 2 will work, but Excel will split/fracture/duplicate conditional formatting rules rather than merging the rules. This can cause inefficiencies in very large and heavily modified files.</t>
  </si>
  <si>
    <t>You can enter the Start date manually, or define task dependencies using a formula. Below are some common options for defining the Start date:</t>
  </si>
  <si>
    <t>Select the entire range of cells you want to print and go to File &gt; Print Area &gt; Set Print Area. Then go to File &gt; Page Setup or File &gt; Print Preview and adjust the Scaling, Margins, and Page Orientation as desired.</t>
  </si>
  <si>
    <r>
      <t>You can calculate the duration in calendar days (including both start and end dates) using the formula =</t>
    </r>
    <r>
      <rPr>
        <i/>
        <sz val="11"/>
        <rFont val="Arial"/>
        <family val="2"/>
      </rPr>
      <t>enddate</t>
    </r>
    <r>
      <rPr>
        <sz val="11"/>
        <rFont val="Arial"/>
        <family val="2"/>
      </rPr>
      <t>-</t>
    </r>
    <r>
      <rPr>
        <i/>
        <sz val="11"/>
        <rFont val="Arial"/>
        <family val="2"/>
      </rPr>
      <t>startdate</t>
    </r>
    <r>
      <rPr>
        <sz val="11"/>
        <rFont val="Arial"/>
        <family val="2"/>
      </rPr>
      <t>+1</t>
    </r>
  </si>
  <si>
    <t>© 2006-2025 Vertex42 LLC</t>
  </si>
  <si>
    <t>Preparing The Proposal</t>
  </si>
  <si>
    <t xml:space="preserve">Literature Review </t>
  </si>
  <si>
    <t>Problem statment &amp; Methodology</t>
  </si>
  <si>
    <t xml:space="preserve">Timelinea &amp; Expected </t>
  </si>
  <si>
    <t>Ghazi Ali Aljubayri</t>
  </si>
  <si>
    <t>Introduction &amp; Project Description</t>
  </si>
  <si>
    <t>improve project aim and benefits</t>
  </si>
  <si>
    <t>Aseel Mohammed Almalki</t>
  </si>
  <si>
    <t>Wessam Dhaifallah Alomari</t>
  </si>
  <si>
    <t>Al-Bara'a Al-Masoudi</t>
  </si>
  <si>
    <t>Khalid Fahad Alzhrani</t>
  </si>
  <si>
    <t>Writing the Project Introduction</t>
  </si>
  <si>
    <t>Providing assistance with the writing</t>
  </si>
  <si>
    <t>Umm al-qura University</t>
  </si>
  <si>
    <t>Writing the Literature Review</t>
  </si>
  <si>
    <t>Designing In Figma</t>
  </si>
  <si>
    <t>System Diagrams</t>
  </si>
  <si>
    <t>Use Case Diagram</t>
  </si>
  <si>
    <t xml:space="preserve">ER Diagram </t>
  </si>
  <si>
    <t>Data Flow Diagram</t>
  </si>
  <si>
    <t>Selecting the Parts</t>
  </si>
  <si>
    <t>Select the parts required for the project</t>
  </si>
  <si>
    <t>Writing the Desing Constrains</t>
  </si>
  <si>
    <t>Writing the System design</t>
  </si>
  <si>
    <t>-</t>
  </si>
  <si>
    <t xml:space="preserve">Chapter 1 Introduction </t>
  </si>
  <si>
    <t xml:space="preserve">Chapter 2 Literature Review </t>
  </si>
  <si>
    <t xml:space="preserve">Chapter 3 Analysis System  </t>
  </si>
  <si>
    <t>Writing the Analysis System</t>
  </si>
  <si>
    <t xml:space="preserve">Chapter 4 Desing Constrains </t>
  </si>
  <si>
    <t xml:space="preserve">Chapter 5 System Design </t>
  </si>
  <si>
    <t>Development Environment Setup</t>
  </si>
  <si>
    <t>First semester: Report writing</t>
  </si>
  <si>
    <t>Second semester: System implementation</t>
  </si>
  <si>
    <t>Frontend Development
(HTML, CSS, JavaScript)</t>
  </si>
  <si>
    <t>Backend Development
(PHP &amp; MySQL)</t>
  </si>
  <si>
    <t>Implementation (Programming)</t>
  </si>
  <si>
    <t>Implementation (Building)</t>
  </si>
  <si>
    <t>Component Preparation</t>
  </si>
  <si>
    <t>ESP32 Installation</t>
  </si>
  <si>
    <t>Sensor Installation</t>
  </si>
  <si>
    <t>Entry Gate Installation</t>
  </si>
  <si>
    <t>Control Logic Programming</t>
  </si>
  <si>
    <t>System Integration</t>
  </si>
  <si>
    <t>Testing &amp; Optimization</t>
  </si>
  <si>
    <t>Documentation &amp; Final Delivery</t>
  </si>
  <si>
    <t>---</t>
  </si>
  <si>
    <t xml:space="preserve">Create Web Desktop </t>
  </si>
  <si>
    <t xml:space="preserve">Create Web Mobile </t>
  </si>
  <si>
    <t>Raknah - A Smart Parking Reservation Platform</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</si>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</sst>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78" x14ac:knownFonts="1">
    <font>
      <sz val="10"/>
      <name val="Arial"/>
    </font>
    <font>
      <sz val="10"/>
      <name val="Arial"/>
      <family val="2"/>
    </font>
    <font>
      <u/>
      <sz val="10"/>
      <color indexed="12"/>
      <name val="Arial"/>
      <family val="2"/>
    </font>
    <font>
      <sz val="8"/>
      <name val="Arial"/>
      <family val="2"/>
    </font>
    <font>
      <u/>
      <sz val="8"/>
      <color indexed="12"/>
      <name val="Arial"/>
      <family val="2"/>
    </font>
    <font>
      <b/>
      <sz val="12"/>
      <name val="Arial"/>
      <family val="2"/>
    </font>
    <font>
      <sz val="10"/>
      <name val="Arial"/>
      <family val="2"/>
    </font>
    <font>
      <b/>
      <sz val="10"/>
      <name val="Arial"/>
      <family val="2"/>
    </font>
    <font>
      <sz val="8"/>
      <color indexed="81"/>
      <name val="Tahoma"/>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2"/>
      <name val="Arial"/>
      <family val="2"/>
    </font>
    <font>
      <u/>
      <sz val="12"/>
      <color indexed="12"/>
      <name val="Arial"/>
      <family val="2"/>
    </font>
    <font>
      <sz val="18"/>
      <color theme="3"/>
      <name val="Arial"/>
      <family val="2"/>
    </font>
    <font>
      <sz val="18"/>
      <color theme="4" tint="-0.249977111117893"/>
      <name val="Arial"/>
      <family val="2"/>
    </font>
    <font>
      <b/>
      <sz val="12"/>
      <color theme="4" tint="-0.249977111117893"/>
      <name val="Arial"/>
      <family val="2"/>
    </font>
    <font>
      <u/>
      <sz val="14"/>
      <color indexed="12"/>
      <name val="Arial"/>
      <family val="2"/>
    </font>
    <font>
      <i/>
      <sz val="8"/>
      <name val="Arial"/>
      <family val="2"/>
    </font>
    <font>
      <b/>
      <sz val="11"/>
      <name val="Arial"/>
      <family val="2"/>
    </font>
    <font>
      <u/>
      <sz val="11"/>
      <color indexed="12"/>
      <name val="Arial"/>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sz val="9"/>
      <color rgb="FF000000"/>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4"/>
      <color theme="4" tint="-0.249977111117893"/>
      <name val="Arial"/>
      <family val="2"/>
    </font>
    <font>
      <sz val="11"/>
      <name val="Arial"/>
      <family val="2"/>
    </font>
    <font>
      <sz val="14"/>
      <name val="Arial"/>
      <family val="2"/>
    </font>
    <font>
      <sz val="11"/>
      <color rgb="FFFF0000"/>
      <name val="Arial"/>
      <family val="2"/>
    </font>
    <font>
      <b/>
      <sz val="11"/>
      <color rgb="FFFF0000"/>
      <name val="Arial"/>
      <family val="2"/>
    </font>
    <font>
      <sz val="11"/>
      <color rgb="FF000000"/>
      <name val="Arial"/>
      <family val="2"/>
    </font>
    <font>
      <i/>
      <sz val="11"/>
      <name val="Arial"/>
      <family val="2"/>
    </font>
    <font>
      <b/>
      <sz val="11"/>
      <color theme="4" tint="-0.249977111117893"/>
      <name val="Arial"/>
      <family val="2"/>
    </font>
    <font>
      <sz val="11"/>
      <color theme="4" tint="-0.249977111117893"/>
      <name val="Arial"/>
      <family val="2"/>
    </font>
    <font>
      <i/>
      <sz val="11"/>
      <color rgb="FF000000"/>
      <name val="Arial"/>
      <family val="2"/>
    </font>
    <font>
      <i/>
      <sz val="8"/>
      <color theme="0" tint="-0.34998626667073579"/>
      <name val="Arial"/>
      <family val="2"/>
    </font>
    <font>
      <sz val="9"/>
      <color theme="0"/>
      <name val="Arial"/>
      <family val="2"/>
      <scheme val="minor"/>
    </font>
    <font>
      <sz val="12"/>
      <name val="Arial"/>
      <family val="2"/>
      <scheme val="minor"/>
    </font>
    <font>
      <sz val="16"/>
      <name val="Arial"/>
      <family val="2"/>
      <scheme val="minor"/>
    </font>
    <font>
      <sz val="11"/>
      <color rgb="FF000000"/>
      <name val="Arial"/>
      <family val="2"/>
      <scheme val="minor"/>
    </font>
    <font>
      <b/>
      <sz val="11"/>
      <name val="Arial"/>
      <family val="2"/>
      <scheme val="major"/>
    </font>
    <font>
      <b/>
      <sz val="18"/>
      <name val="Arial"/>
      <family val="2"/>
      <scheme val="major"/>
    </font>
    <font>
      <b/>
      <sz val="14"/>
      <name val="Arial"/>
      <family val="2"/>
      <scheme val="minor"/>
    </font>
    <font>
      <sz val="11"/>
      <name val="Arial"/>
      <family val="2"/>
      <scheme val="major"/>
    </font>
    <font>
      <sz val="12"/>
      <color rgb="FF000000"/>
      <name val="Arial"/>
      <family val="2"/>
      <scheme val="minor"/>
    </font>
    <font>
      <sz val="12"/>
      <name val="Arial"/>
      <family val="2"/>
      <scheme val="major"/>
    </font>
    <font>
      <sz val="20"/>
      <name val="Arial"/>
      <family val="2"/>
      <scheme val="major"/>
    </font>
    <font>
      <sz val="20"/>
      <color theme="4" tint="-0.249977111117893"/>
      <name val="Arial"/>
      <family val="2"/>
      <scheme val="major"/>
    </font>
    <font>
      <sz val="16"/>
      <name val="Arial"/>
      <family val="2"/>
      <scheme val="major"/>
    </font>
    <font>
      <sz val="20"/>
      <name val="Arial"/>
      <family val="2"/>
      <scheme val="minor"/>
    </font>
  </fonts>
  <fills count="29">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theme="3" tint="0.79998168889431442"/>
        <bgColor indexed="64"/>
      </patternFill>
    </fill>
    <fill>
      <patternFill patternType="solid">
        <fgColor theme="0"/>
        <bgColor indexed="64"/>
      </patternFill>
    </fill>
    <fill>
      <patternFill patternType="solid">
        <fgColor theme="4" tint="0.39997558519241921"/>
        <bgColor rgb="FFD6F4D9"/>
      </patternFill>
    </fill>
    <fill>
      <patternFill patternType="solid">
        <fgColor theme="4" tint="0.39997558519241921"/>
        <bgColor indexed="64"/>
      </patternFill>
    </fill>
    <fill>
      <patternFill patternType="solid">
        <fgColor theme="0" tint="-0.249977111117893"/>
        <bgColor indexed="64"/>
      </patternFill>
    </fill>
    <fill>
      <patternFill patternType="solid">
        <fgColor theme="0" tint="-0.249977111117893"/>
        <bgColor rgb="FFD6F4D9"/>
      </patternFill>
    </fill>
    <fill>
      <patternFill patternType="solid">
        <fgColor theme="2" tint="-9.9978637043366805E-2"/>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n">
        <color indexed="22"/>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right/>
      <top/>
      <bottom style="thin">
        <color theme="0" tint="-0.24994659260841701"/>
      </bottom>
      <diagonal/>
    </border>
    <border>
      <left/>
      <right/>
      <top/>
      <bottom style="thin">
        <color indexed="64"/>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right/>
      <top style="thin">
        <color theme="0" tint="-0.24994659260841701"/>
      </top>
      <bottom/>
      <diagonal/>
    </border>
  </borders>
  <cellStyleXfs count="44">
    <xf numFmtId="0" fontId="0" fillId="0" borderId="0"/>
    <xf numFmtId="0" fontId="12" fillId="2"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2"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8"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0"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4" fillId="16" borderId="0" applyNumberFormat="0" applyBorder="0" applyAlignment="0" applyProtection="0"/>
    <xf numFmtId="0" fontId="15" fillId="17" borderId="1" applyNumberFormat="0" applyAlignment="0" applyProtection="0"/>
    <xf numFmtId="0" fontId="16" fillId="18" borderId="2" applyNumberFormat="0" applyAlignment="0" applyProtection="0"/>
    <xf numFmtId="0" fontId="17" fillId="0" borderId="0" applyNumberFormat="0" applyFill="0" applyBorder="0" applyAlignment="0" applyProtection="0"/>
    <xf numFmtId="0" fontId="18" fillId="19" borderId="0" applyNumberFormat="0" applyBorder="0" applyAlignment="0" applyProtection="0"/>
    <xf numFmtId="0" fontId="19" fillId="0" borderId="3" applyNumberFormat="0" applyFill="0" applyAlignment="0" applyProtection="0"/>
    <xf numFmtId="0" fontId="20" fillId="0" borderId="4" applyNumberFormat="0" applyFill="0" applyAlignment="0" applyProtection="0"/>
    <xf numFmtId="0" fontId="21" fillId="0" borderId="5" applyNumberFormat="0" applyFill="0" applyAlignment="0" applyProtection="0"/>
    <xf numFmtId="0" fontId="21" fillId="0" borderId="0" applyNumberFormat="0" applyFill="0" applyBorder="0" applyAlignment="0" applyProtection="0"/>
    <xf numFmtId="0" fontId="2" fillId="0" borderId="0" applyNumberFormat="0" applyFill="0" applyBorder="0" applyAlignment="0" applyProtection="0">
      <alignment vertical="top"/>
      <protection locked="0"/>
    </xf>
    <xf numFmtId="0" fontId="22" fillId="11" borderId="1" applyNumberFormat="0" applyAlignment="0" applyProtection="0"/>
    <xf numFmtId="0" fontId="23" fillId="0" borderId="6" applyNumberFormat="0" applyFill="0" applyAlignment="0" applyProtection="0"/>
    <xf numFmtId="0" fontId="24" fillId="5" borderId="0" applyNumberFormat="0" applyBorder="0" applyAlignment="0" applyProtection="0"/>
    <xf numFmtId="0" fontId="6" fillId="5" borderId="7" applyNumberFormat="0" applyFont="0" applyAlignment="0" applyProtection="0"/>
    <xf numFmtId="0" fontId="25" fillId="17" borderId="8" applyNumberFormat="0" applyAlignment="0" applyProtection="0"/>
    <xf numFmtId="9" fontId="1" fillId="0" borderId="0" applyFont="0" applyFill="0" applyBorder="0" applyAlignment="0" applyProtection="0"/>
    <xf numFmtId="0" fontId="26" fillId="0" borderId="0" applyNumberFormat="0" applyFill="0" applyBorder="0" applyAlignment="0" applyProtection="0"/>
    <xf numFmtId="0" fontId="27" fillId="0" borderId="9" applyNumberFormat="0" applyFill="0" applyAlignment="0" applyProtection="0"/>
    <xf numFmtId="0" fontId="28" fillId="0" borderId="0" applyNumberFormat="0" applyFill="0" applyBorder="0" applyAlignment="0" applyProtection="0"/>
  </cellStyleXfs>
  <cellXfs count="196">
    <xf numFmtId="0" fontId="0" fillId="0" borderId="0" xfId="0"/>
    <xf numFmtId="0" fontId="0" fillId="20" borderId="0" xfId="0" applyFill="1"/>
    <xf numFmtId="0" fontId="1" fillId="0" borderId="0" xfId="0" applyFont="1"/>
    <xf numFmtId="0" fontId="3" fillId="0" borderId="0" xfId="0" applyFont="1" applyAlignment="1">
      <alignment horizontal="right"/>
    </xf>
    <xf numFmtId="0" fontId="7" fillId="0" borderId="0" xfId="0" applyFont="1"/>
    <xf numFmtId="0" fontId="1" fillId="0" borderId="0" xfId="0" applyFont="1" applyAlignment="1">
      <alignment horizontal="left" wrapText="1" indent="1"/>
    </xf>
    <xf numFmtId="0" fontId="1" fillId="0" borderId="12" xfId="0" applyFont="1" applyBorder="1"/>
    <xf numFmtId="0" fontId="0" fillId="0" borderId="12" xfId="0" applyBorder="1"/>
    <xf numFmtId="0" fontId="29" fillId="0" borderId="12" xfId="0" applyFont="1" applyBorder="1" applyAlignment="1">
      <alignment horizontal="left" wrapText="1"/>
    </xf>
    <xf numFmtId="0" fontId="5" fillId="0" borderId="12" xfId="0" applyFont="1" applyBorder="1" applyAlignment="1">
      <alignment horizontal="left" wrapText="1"/>
    </xf>
    <xf numFmtId="0" fontId="29" fillId="0" borderId="12" xfId="0" applyFont="1" applyBorder="1" applyAlignment="1">
      <alignment horizontal="left"/>
    </xf>
    <xf numFmtId="0" fontId="3" fillId="0" borderId="0" xfId="0" applyFont="1" applyAlignment="1">
      <alignment wrapText="1"/>
    </xf>
    <xf numFmtId="0" fontId="10" fillId="0" borderId="0" xfId="0" applyFont="1" applyProtection="1">
      <protection locked="0"/>
    </xf>
    <xf numFmtId="0" fontId="34" fillId="0" borderId="0" xfId="34" applyFont="1" applyAlignment="1" applyProtection="1"/>
    <xf numFmtId="0" fontId="35" fillId="0" borderId="0" xfId="0" applyFont="1"/>
    <xf numFmtId="0" fontId="36" fillId="0" borderId="0" xfId="0" applyFont="1"/>
    <xf numFmtId="0" fontId="33" fillId="0" borderId="0" xfId="0" applyFont="1"/>
    <xf numFmtId="0" fontId="3" fillId="0" borderId="0" xfId="0" applyFont="1" applyAlignment="1">
      <alignment horizontal="left" vertical="center"/>
    </xf>
    <xf numFmtId="0" fontId="2" fillId="0" borderId="0" xfId="34" applyAlignment="1" applyProtection="1">
      <alignment horizontal="left"/>
    </xf>
    <xf numFmtId="0" fontId="4" fillId="20" borderId="0" xfId="34" applyNumberFormat="1" applyFont="1" applyFill="1" applyAlignment="1" applyProtection="1">
      <alignment horizontal="right"/>
      <protection locked="0"/>
    </xf>
    <xf numFmtId="0" fontId="32" fillId="0" borderId="0" xfId="0" applyFont="1" applyAlignment="1">
      <alignment vertical="center"/>
    </xf>
    <xf numFmtId="0" fontId="29" fillId="0" borderId="13" xfId="0" applyFont="1" applyBorder="1" applyAlignment="1">
      <alignment horizontal="left" wrapText="1"/>
    </xf>
    <xf numFmtId="0" fontId="30" fillId="0" borderId="12" xfId="34" applyFont="1" applyBorder="1" applyAlignment="1" applyProtection="1">
      <alignment horizontal="left" wrapText="1"/>
    </xf>
    <xf numFmtId="0" fontId="37" fillId="0" borderId="13" xfId="34" applyFont="1" applyBorder="1" applyAlignment="1" applyProtection="1">
      <alignment wrapText="1"/>
    </xf>
    <xf numFmtId="0" fontId="32" fillId="0" borderId="0" xfId="0" applyFont="1" applyAlignment="1">
      <alignment horizontal="left" vertical="center"/>
    </xf>
    <xf numFmtId="0" fontId="31" fillId="0" borderId="0" xfId="0" applyFont="1" applyAlignment="1">
      <alignment horizontal="left" vertical="center"/>
    </xf>
    <xf numFmtId="0" fontId="1" fillId="0" borderId="13" xfId="0" applyFont="1" applyBorder="1"/>
    <xf numFmtId="0" fontId="0" fillId="0" borderId="13" xfId="0" applyBorder="1"/>
    <xf numFmtId="0" fontId="29" fillId="0" borderId="0" xfId="0" applyFont="1" applyAlignment="1">
      <alignment horizontal="left" wrapText="1"/>
    </xf>
    <xf numFmtId="0" fontId="9" fillId="0" borderId="0" xfId="0" applyFont="1" applyAlignment="1" applyProtection="1">
      <alignment vertical="center"/>
      <protection locked="0"/>
    </xf>
    <xf numFmtId="0" fontId="43" fillId="0" borderId="0" xfId="0" applyFont="1"/>
    <xf numFmtId="0" fontId="44" fillId="0" borderId="0" xfId="0" applyFont="1" applyAlignment="1" applyProtection="1">
      <alignment vertical="center"/>
      <protection locked="0"/>
    </xf>
    <xf numFmtId="0" fontId="42" fillId="0" borderId="10" xfId="0" applyFont="1" applyBorder="1" applyAlignment="1">
      <alignment horizontal="left" vertical="center"/>
    </xf>
    <xf numFmtId="0" fontId="42" fillId="0" borderId="10" xfId="0" applyFont="1" applyBorder="1" applyAlignment="1">
      <alignment vertical="center"/>
    </xf>
    <xf numFmtId="1" fontId="49" fillId="0" borderId="11" xfId="0" applyNumberFormat="1" applyFont="1" applyBorder="1" applyAlignment="1">
      <alignment horizontal="center" vertical="center"/>
    </xf>
    <xf numFmtId="9" fontId="42" fillId="0" borderId="10" xfId="0" applyNumberFormat="1" applyFont="1" applyBorder="1" applyAlignment="1">
      <alignment horizontal="left" vertical="center"/>
    </xf>
    <xf numFmtId="0" fontId="50" fillId="0" borderId="0" xfId="0" applyFont="1"/>
    <xf numFmtId="0" fontId="50" fillId="0" borderId="0" xfId="0" applyFont="1" applyAlignment="1">
      <alignment horizontal="right" vertical="center"/>
    </xf>
    <xf numFmtId="0" fontId="51" fillId="0" borderId="16" xfId="0" applyFont="1" applyBorder="1" applyAlignment="1">
      <alignment horizontal="center" vertical="center" wrapText="1"/>
    </xf>
    <xf numFmtId="0" fontId="46" fillId="0" borderId="11" xfId="0" applyFont="1" applyBorder="1" applyAlignment="1">
      <alignment horizontal="center" vertical="center"/>
    </xf>
    <xf numFmtId="0" fontId="1" fillId="0" borderId="0" xfId="0" applyFont="1" applyAlignment="1">
      <alignment horizontal="right" vertical="center"/>
    </xf>
    <xf numFmtId="0" fontId="53" fillId="0" borderId="0" xfId="0" applyFont="1"/>
    <xf numFmtId="0" fontId="1" fillId="0" borderId="0" xfId="0" applyFont="1" applyAlignment="1">
      <alignment vertical="center"/>
    </xf>
    <xf numFmtId="0" fontId="1" fillId="22" borderId="0" xfId="0" applyFont="1" applyFill="1" applyAlignment="1">
      <alignment horizontal="center" vertical="center"/>
    </xf>
    <xf numFmtId="0" fontId="1" fillId="21" borderId="0" xfId="0" applyFont="1" applyFill="1" applyAlignment="1">
      <alignment horizontal="center" vertical="center"/>
    </xf>
    <xf numFmtId="0" fontId="54" fillId="0" borderId="0" xfId="0" applyFont="1" applyAlignment="1">
      <alignment wrapText="1"/>
    </xf>
    <xf numFmtId="0" fontId="37" fillId="0" borderId="0" xfId="34" applyFont="1" applyAlignment="1" applyProtection="1"/>
    <xf numFmtId="0" fontId="54" fillId="0" borderId="0" xfId="0" applyFont="1" applyAlignment="1">
      <alignment horizontal="left" wrapText="1"/>
    </xf>
    <xf numFmtId="0" fontId="54" fillId="0" borderId="0" xfId="0" applyFont="1" applyAlignment="1">
      <alignment vertical="center" wrapText="1"/>
    </xf>
    <xf numFmtId="0" fontId="55" fillId="0" borderId="0" xfId="0" applyFont="1" applyAlignment="1">
      <alignment vertical="center"/>
    </xf>
    <xf numFmtId="0" fontId="55" fillId="0" borderId="0" xfId="0" applyFont="1"/>
    <xf numFmtId="0" fontId="56" fillId="0" borderId="0" xfId="0" applyFont="1" applyAlignment="1">
      <alignment vertical="center" wrapText="1"/>
    </xf>
    <xf numFmtId="0" fontId="37" fillId="0" borderId="0" xfId="34" applyFont="1" applyFill="1" applyBorder="1" applyAlignment="1" applyProtection="1">
      <alignment vertical="center"/>
    </xf>
    <xf numFmtId="0" fontId="58" fillId="0" borderId="0" xfId="0" applyFont="1" applyAlignment="1">
      <alignment horizontal="right"/>
    </xf>
    <xf numFmtId="0" fontId="54" fillId="0" borderId="0" xfId="0" applyFont="1"/>
    <xf numFmtId="0" fontId="54" fillId="0" borderId="0" xfId="0" applyFont="1" applyAlignment="1">
      <alignment horizontal="left" indent="1"/>
    </xf>
    <xf numFmtId="0" fontId="54" fillId="0" borderId="0" xfId="0" quotePrefix="1" applyFont="1" applyAlignment="1">
      <alignment horizontal="left" wrapText="1" indent="1"/>
    </xf>
    <xf numFmtId="0" fontId="36" fillId="0" borderId="0" xfId="0" quotePrefix="1" applyFont="1" applyAlignment="1">
      <alignment horizontal="left" indent="1"/>
    </xf>
    <xf numFmtId="0" fontId="58" fillId="0" borderId="0" xfId="0" applyFont="1" applyAlignment="1">
      <alignment horizontal="left" wrapText="1"/>
    </xf>
    <xf numFmtId="0" fontId="54" fillId="0" borderId="0" xfId="0" applyFont="1" applyAlignment="1">
      <alignment horizontal="left" vertical="center" wrapText="1"/>
    </xf>
    <xf numFmtId="0" fontId="60" fillId="0" borderId="0" xfId="0" applyFont="1" applyAlignment="1">
      <alignment horizontal="right"/>
    </xf>
    <xf numFmtId="0" fontId="61" fillId="0" borderId="0" xfId="0" applyFont="1" applyAlignment="1">
      <alignment vertical="center" wrapText="1"/>
    </xf>
    <xf numFmtId="0" fontId="54" fillId="0" borderId="0" xfId="0" quotePrefix="1" applyFont="1" applyAlignment="1">
      <alignment wrapText="1"/>
    </xf>
    <xf numFmtId="0" fontId="61" fillId="0" borderId="0" xfId="0" applyFont="1"/>
    <xf numFmtId="0" fontId="11" fillId="0" borderId="0" xfId="0" applyFont="1" applyProtection="1">
      <protection locked="0"/>
    </xf>
    <xf numFmtId="0" fontId="60" fillId="0" borderId="0" xfId="0" applyFont="1"/>
    <xf numFmtId="0" fontId="42" fillId="0" borderId="0" xfId="0" applyFont="1" applyAlignment="1">
      <alignment vertical="center"/>
    </xf>
    <xf numFmtId="0" fontId="42" fillId="26" borderId="0" xfId="0" applyFont="1" applyFill="1" applyAlignment="1">
      <alignment vertical="center"/>
    </xf>
    <xf numFmtId="0" fontId="47" fillId="26" borderId="10" xfId="0" applyFont="1" applyFill="1" applyBorder="1" applyAlignment="1">
      <alignment horizontal="left" vertical="center"/>
    </xf>
    <xf numFmtId="0" fontId="42" fillId="26" borderId="10" xfId="0" applyFont="1" applyFill="1" applyBorder="1" applyAlignment="1">
      <alignment vertical="center"/>
    </xf>
    <xf numFmtId="0" fontId="42" fillId="26" borderId="10" xfId="0" applyFont="1" applyFill="1" applyBorder="1" applyAlignment="1">
      <alignment horizontal="center" vertical="center"/>
    </xf>
    <xf numFmtId="165" fontId="42" fillId="26" borderId="10" xfId="0" applyNumberFormat="1" applyFont="1" applyFill="1" applyBorder="1" applyAlignment="1">
      <alignment horizontal="center" vertical="center"/>
    </xf>
    <xf numFmtId="1" fontId="42" fillId="26" borderId="10" xfId="40" applyNumberFormat="1" applyFont="1" applyFill="1" applyBorder="1" applyAlignment="1" applyProtection="1">
      <alignment horizontal="center" vertical="center"/>
    </xf>
    <xf numFmtId="9" fontId="42" fillId="26" borderId="10" xfId="40" applyFont="1" applyFill="1" applyBorder="1" applyAlignment="1" applyProtection="1">
      <alignment horizontal="center" vertical="center"/>
    </xf>
    <xf numFmtId="1" fontId="42" fillId="26" borderId="10" xfId="0" applyNumberFormat="1" applyFont="1" applyFill="1" applyBorder="1" applyAlignment="1">
      <alignment horizontal="center" vertical="center"/>
    </xf>
    <xf numFmtId="1" fontId="48" fillId="26" borderId="10" xfId="0" applyNumberFormat="1" applyFont="1" applyFill="1" applyBorder="1" applyAlignment="1">
      <alignment horizontal="center" vertical="center"/>
    </xf>
    <xf numFmtId="0" fontId="42" fillId="26" borderId="10" xfId="0" applyFont="1" applyFill="1" applyBorder="1" applyAlignment="1">
      <alignment horizontal="left" vertical="center"/>
    </xf>
    <xf numFmtId="0" fontId="47" fillId="26" borderId="14" xfId="0" applyFont="1" applyFill="1" applyBorder="1" applyAlignment="1">
      <alignment horizontal="left" vertical="center"/>
    </xf>
    <xf numFmtId="0" fontId="42" fillId="26" borderId="14" xfId="0" applyFont="1" applyFill="1" applyBorder="1" applyAlignment="1">
      <alignment vertical="center"/>
    </xf>
    <xf numFmtId="0" fontId="42" fillId="26" borderId="14" xfId="0" applyFont="1" applyFill="1" applyBorder="1" applyAlignment="1">
      <alignment horizontal="center" vertical="center"/>
    </xf>
    <xf numFmtId="165" fontId="42" fillId="26" borderId="14" xfId="0" applyNumberFormat="1" applyFont="1" applyFill="1" applyBorder="1" applyAlignment="1">
      <alignment horizontal="right" vertical="center"/>
    </xf>
    <xf numFmtId="165" fontId="42" fillId="26" borderId="14" xfId="0" applyNumberFormat="1" applyFont="1" applyFill="1" applyBorder="1" applyAlignment="1">
      <alignment horizontal="center" vertical="center"/>
    </xf>
    <xf numFmtId="1" fontId="42" fillId="26" borderId="14" xfId="40" applyNumberFormat="1" applyFont="1" applyFill="1" applyBorder="1" applyAlignment="1" applyProtection="1">
      <alignment horizontal="center" vertical="center"/>
    </xf>
    <xf numFmtId="9" fontId="42" fillId="26" borderId="14" xfId="40" applyFont="1" applyFill="1" applyBorder="1" applyAlignment="1" applyProtection="1">
      <alignment horizontal="center" vertical="center"/>
    </xf>
    <xf numFmtId="1" fontId="42" fillId="26" borderId="14" xfId="0" applyNumberFormat="1" applyFont="1" applyFill="1" applyBorder="1" applyAlignment="1">
      <alignment horizontal="center" vertical="center"/>
    </xf>
    <xf numFmtId="1" fontId="48" fillId="26" borderId="14" xfId="0" applyNumberFormat="1" applyFont="1" applyFill="1" applyBorder="1" applyAlignment="1">
      <alignment horizontal="center" vertical="center"/>
    </xf>
    <xf numFmtId="0" fontId="42" fillId="26" borderId="14" xfId="0" applyFont="1" applyFill="1" applyBorder="1" applyAlignment="1">
      <alignment horizontal="left" vertical="center"/>
    </xf>
    <xf numFmtId="0" fontId="64" fillId="23" borderId="18" xfId="0" applyFont="1" applyFill="1" applyBorder="1" applyAlignment="1">
      <alignment horizontal="center" vertical="center" shrinkToFit="1"/>
    </xf>
    <xf numFmtId="166" fontId="3" fillId="0" borderId="19" xfId="0" applyNumberFormat="1" applyFont="1" applyBorder="1" applyAlignment="1">
      <alignment horizontal="center" vertical="center" shrinkToFit="1"/>
    </xf>
    <xf numFmtId="166" fontId="3" fillId="0" borderId="0" xfId="0" applyNumberFormat="1" applyFont="1" applyAlignment="1">
      <alignment horizontal="center" vertical="center" shrinkToFit="1"/>
    </xf>
    <xf numFmtId="166" fontId="3" fillId="0" borderId="20" xfId="0" applyNumberFormat="1" applyFont="1" applyBorder="1" applyAlignment="1">
      <alignment horizontal="center" vertical="center" shrinkToFit="1"/>
    </xf>
    <xf numFmtId="0" fontId="64" fillId="23" borderId="21" xfId="0" applyFont="1" applyFill="1" applyBorder="1" applyAlignment="1">
      <alignment horizontal="center" vertical="center" shrinkToFit="1"/>
    </xf>
    <xf numFmtId="0" fontId="64" fillId="23" borderId="22" xfId="0" applyFont="1" applyFill="1" applyBorder="1" applyAlignment="1">
      <alignment horizontal="center" vertical="center" shrinkToFit="1"/>
    </xf>
    <xf numFmtId="0" fontId="48" fillId="0" borderId="10" xfId="0" applyFont="1" applyBorder="1" applyAlignment="1">
      <alignment vertical="center" wrapText="1"/>
    </xf>
    <xf numFmtId="0" fontId="48" fillId="0" borderId="10" xfId="0" applyFont="1" applyBorder="1" applyAlignment="1">
      <alignment horizontal="left" vertical="center" wrapText="1"/>
    </xf>
    <xf numFmtId="165" fontId="67" fillId="24" borderId="11" xfId="0" applyNumberFormat="1" applyFont="1" applyFill="1" applyBorder="1" applyAlignment="1">
      <alignment horizontal="center" vertical="center"/>
    </xf>
    <xf numFmtId="0" fontId="47" fillId="0" borderId="0" xfId="0" applyFont="1" applyAlignment="1">
      <alignment vertical="center"/>
    </xf>
    <xf numFmtId="0" fontId="48" fillId="0" borderId="10" xfId="0" applyFont="1" applyBorder="1" applyAlignment="1">
      <alignment vertical="center"/>
    </xf>
    <xf numFmtId="0" fontId="51" fillId="28" borderId="0" xfId="0" applyFont="1" applyFill="1" applyAlignment="1">
      <alignment horizontal="left" vertical="center"/>
    </xf>
    <xf numFmtId="0" fontId="51" fillId="28" borderId="0" xfId="0" applyFont="1" applyFill="1" applyAlignment="1">
      <alignment horizontal="center" vertical="center" wrapText="1"/>
    </xf>
    <xf numFmtId="0" fontId="52" fillId="28" borderId="0" xfId="0" applyFont="1" applyFill="1" applyAlignment="1">
      <alignment horizontal="center" vertical="center" wrapText="1"/>
    </xf>
    <xf numFmtId="0" fontId="51" fillId="28" borderId="0" xfId="0" applyFont="1" applyFill="1" applyAlignment="1">
      <alignment horizontal="center" vertical="center"/>
    </xf>
    <xf numFmtId="0" fontId="64" fillId="28" borderId="0" xfId="0" applyFont="1" applyFill="1" applyAlignment="1">
      <alignment horizontal="center" vertical="center" shrinkToFit="1"/>
    </xf>
    <xf numFmtId="0" fontId="1" fillId="28" borderId="0" xfId="0" applyFont="1" applyFill="1"/>
    <xf numFmtId="0" fontId="69" fillId="28" borderId="0" xfId="0" applyFont="1" applyFill="1" applyAlignment="1">
      <alignment horizontal="left" vertical="center"/>
    </xf>
    <xf numFmtId="0" fontId="70" fillId="26" borderId="10" xfId="0" applyFont="1" applyFill="1" applyBorder="1" applyAlignment="1">
      <alignment vertical="center"/>
    </xf>
    <xf numFmtId="0" fontId="70" fillId="26" borderId="14" xfId="0" applyFont="1" applyFill="1" applyBorder="1" applyAlignment="1">
      <alignment vertical="center"/>
    </xf>
    <xf numFmtId="0" fontId="68" fillId="0" borderId="16" xfId="0" applyFont="1" applyBorder="1" applyAlignment="1">
      <alignment horizontal="left" vertical="center"/>
    </xf>
    <xf numFmtId="0" fontId="68" fillId="0" borderId="16" xfId="0" applyFont="1" applyBorder="1" applyAlignment="1">
      <alignment horizontal="center" vertical="center" wrapText="1"/>
    </xf>
    <xf numFmtId="0" fontId="68" fillId="0" borderId="16" xfId="0" applyFont="1" applyBorder="1" applyAlignment="1">
      <alignment horizontal="center" vertical="center"/>
    </xf>
    <xf numFmtId="0" fontId="10" fillId="0" borderId="0" xfId="0" applyFont="1"/>
    <xf numFmtId="0" fontId="47" fillId="0" borderId="10" xfId="0" applyFont="1" applyBorder="1" applyAlignment="1">
      <alignment horizontal="left" vertical="center"/>
    </xf>
    <xf numFmtId="0" fontId="71" fillId="0" borderId="16" xfId="0" applyFont="1" applyBorder="1" applyAlignment="1">
      <alignment horizontal="center" vertical="center" wrapText="1"/>
    </xf>
    <xf numFmtId="9" fontId="67" fillId="25" borderId="11" xfId="40" applyFont="1" applyFill="1" applyBorder="1" applyAlignment="1" applyProtection="1">
      <alignment horizontal="center" vertical="center"/>
    </xf>
    <xf numFmtId="9" fontId="72" fillId="25" borderId="11" xfId="40" applyFont="1" applyFill="1" applyBorder="1" applyAlignment="1" applyProtection="1">
      <alignment horizontal="center" vertical="center"/>
    </xf>
    <xf numFmtId="0" fontId="73" fillId="0" borderId="0" xfId="0" applyFont="1" applyAlignment="1">
      <alignment horizontal="right" vertical="center"/>
    </xf>
    <xf numFmtId="0" fontId="65" fillId="0" borderId="17" xfId="0" applyFont="1" applyBorder="1" applyAlignment="1" applyProtection="1">
      <alignment horizontal="center" vertical="center"/>
      <protection locked="0"/>
    </xf>
    <xf numFmtId="0" fontId="48" fillId="0" borderId="10" xfId="0" applyFont="1" applyBorder="1" applyAlignment="1">
      <alignment horizontal="left" vertical="center"/>
    </xf>
    <xf numFmtId="0" fontId="74" fillId="0" borderId="0" xfId="0" applyFont="1" applyAlignment="1" applyProtection="1">
      <alignment vertical="center"/>
      <protection locked="0"/>
    </xf>
    <xf numFmtId="0" fontId="75" fillId="0" borderId="0" xfId="0" applyFont="1" applyAlignment="1" applyProtection="1">
      <alignment vertical="center"/>
      <protection locked="0"/>
    </xf>
    <xf numFmtId="0" fontId="76" fillId="0" borderId="0" xfId="0" applyFont="1" applyAlignment="1">
      <alignment horizontal="right" vertical="center"/>
    </xf>
    <xf numFmtId="0" fontId="66" fillId="0" borderId="10" xfId="0" applyFont="1" applyBorder="1" applyAlignment="1">
      <alignment horizontal="left" vertical="center"/>
    </xf>
    <xf numFmtId="0" fontId="77" fillId="0" borderId="10" xfId="0" applyFont="1" applyBorder="1" applyAlignment="1">
      <alignment horizontal="left" vertical="center"/>
    </xf>
    <xf numFmtId="165" fontId="67" fillId="0" borderId="11" xfId="0" applyNumberFormat="1" applyFont="1" applyBorder="1" applyAlignment="1">
      <alignment horizontal="center" vertical="center"/>
    </xf>
    <xf numFmtId="1" fontId="67" fillId="25" borderId="11" xfId="0" applyNumberFormat="1" applyFont="1" applyFill="1" applyBorder="1" applyAlignment="1">
      <alignment horizontal="center" vertical="center"/>
    </xf>
    <xf numFmtId="1" fontId="67" fillId="0" borderId="11" xfId="0" applyNumberFormat="1" applyFont="1" applyBorder="1" applyAlignment="1">
      <alignment horizontal="center" vertical="center"/>
    </xf>
    <xf numFmtId="9" fontId="67" fillId="25" borderId="0" xfId="40" applyFont="1" applyFill="1" applyBorder="1" applyAlignment="1" applyProtection="1">
      <alignment horizontal="center" vertical="center"/>
    </xf>
    <xf numFmtId="1" fontId="46" fillId="26" borderId="23" xfId="0" applyNumberFormat="1" applyFont="1" applyFill="1" applyBorder="1" applyAlignment="1">
      <alignment horizontal="center" vertical="center"/>
    </xf>
    <xf numFmtId="1" fontId="49" fillId="26" borderId="23" xfId="0" applyNumberFormat="1" applyFont="1" applyFill="1" applyBorder="1" applyAlignment="1">
      <alignment horizontal="center" vertical="center"/>
    </xf>
    <xf numFmtId="0" fontId="42" fillId="26" borderId="23" xfId="0" applyFont="1" applyFill="1" applyBorder="1" applyAlignment="1">
      <alignment horizontal="left" vertical="center"/>
    </xf>
    <xf numFmtId="0" fontId="48" fillId="26" borderId="23" xfId="0" applyFont="1" applyFill="1" applyBorder="1" applyAlignment="1">
      <alignment horizontal="left" vertical="center"/>
    </xf>
    <xf numFmtId="0" fontId="42" fillId="26" borderId="23" xfId="0" applyFont="1" applyFill="1" applyBorder="1" applyAlignment="1">
      <alignment vertical="center"/>
    </xf>
    <xf numFmtId="1" fontId="67" fillId="0" borderId="24" xfId="0" applyNumberFormat="1" applyFont="1" applyBorder="1" applyAlignment="1">
      <alignment horizontal="center" vertical="center"/>
    </xf>
    <xf numFmtId="1" fontId="49" fillId="0" borderId="24" xfId="0" applyNumberFormat="1" applyFont="1" applyBorder="1" applyAlignment="1">
      <alignment horizontal="center" vertical="center"/>
    </xf>
    <xf numFmtId="0" fontId="42" fillId="0" borderId="24" xfId="0" applyFont="1" applyBorder="1" applyAlignment="1">
      <alignment horizontal="left" vertical="center"/>
    </xf>
    <xf numFmtId="0" fontId="42" fillId="0" borderId="24" xfId="0" applyFont="1" applyBorder="1" applyAlignment="1">
      <alignment vertical="center"/>
    </xf>
    <xf numFmtId="1" fontId="46" fillId="26" borderId="24" xfId="0" applyNumberFormat="1" applyFont="1" applyFill="1" applyBorder="1" applyAlignment="1">
      <alignment horizontal="center" vertical="center"/>
    </xf>
    <xf numFmtId="1" fontId="49" fillId="26" borderId="24" xfId="0" applyNumberFormat="1" applyFont="1" applyFill="1" applyBorder="1" applyAlignment="1">
      <alignment horizontal="center" vertical="center"/>
    </xf>
    <xf numFmtId="0" fontId="42" fillId="26" borderId="24" xfId="0" applyFont="1" applyFill="1" applyBorder="1" applyAlignment="1">
      <alignment horizontal="left" vertical="center"/>
    </xf>
    <xf numFmtId="0" fontId="42" fillId="26" borderId="24" xfId="0" applyFont="1" applyFill="1" applyBorder="1" applyAlignment="1">
      <alignment vertical="center"/>
    </xf>
    <xf numFmtId="0" fontId="54" fillId="0" borderId="24" xfId="0" applyFont="1" applyBorder="1" applyAlignment="1">
      <alignment horizontal="center" vertical="center"/>
    </xf>
    <xf numFmtId="0" fontId="51" fillId="28" borderId="24" xfId="0" applyFont="1" applyFill="1" applyBorder="1" applyAlignment="1">
      <alignment horizontal="center" vertical="center" wrapText="1"/>
    </xf>
    <xf numFmtId="0" fontId="64" fillId="28" borderId="24" xfId="0" applyFont="1" applyFill="1" applyBorder="1" applyAlignment="1">
      <alignment horizontal="center" vertical="center" shrinkToFit="1"/>
    </xf>
    <xf numFmtId="0" fontId="1" fillId="28" borderId="24" xfId="0" applyFont="1" applyFill="1" applyBorder="1"/>
    <xf numFmtId="1" fontId="67" fillId="0" borderId="25" xfId="0" applyNumberFormat="1" applyFont="1" applyBorder="1" applyAlignment="1">
      <alignment horizontal="center" vertical="center"/>
    </xf>
    <xf numFmtId="1" fontId="49" fillId="0" borderId="25" xfId="0" applyNumberFormat="1" applyFont="1" applyBorder="1" applyAlignment="1">
      <alignment horizontal="center" vertical="center"/>
    </xf>
    <xf numFmtId="0" fontId="42" fillId="0" borderId="25" xfId="0" applyFont="1" applyBorder="1" applyAlignment="1">
      <alignment horizontal="left" vertical="center"/>
    </xf>
    <xf numFmtId="0" fontId="42" fillId="0" borderId="25" xfId="0" applyFont="1" applyBorder="1" applyAlignment="1">
      <alignment vertical="center"/>
    </xf>
    <xf numFmtId="9" fontId="49" fillId="25" borderId="0" xfId="40" applyFont="1" applyFill="1" applyBorder="1" applyAlignment="1" applyProtection="1">
      <alignment horizontal="center" vertical="center"/>
    </xf>
    <xf numFmtId="0" fontId="42" fillId="26" borderId="17" xfId="0" applyFont="1" applyFill="1" applyBorder="1" applyAlignment="1">
      <alignment horizontal="left" vertical="center"/>
    </xf>
    <xf numFmtId="0" fontId="70" fillId="26" borderId="17" xfId="0" applyFont="1" applyFill="1" applyBorder="1" applyAlignment="1">
      <alignment vertical="center" wrapText="1"/>
    </xf>
    <xf numFmtId="0" fontId="42" fillId="26" borderId="17" xfId="0" applyFont="1" applyFill="1" applyBorder="1" applyAlignment="1">
      <alignment vertical="center"/>
    </xf>
    <xf numFmtId="0" fontId="46" fillId="26" borderId="17" xfId="0" applyFont="1" applyFill="1" applyBorder="1" applyAlignment="1">
      <alignment horizontal="center" vertical="center"/>
    </xf>
    <xf numFmtId="165" fontId="46" fillId="27" borderId="17" xfId="0" applyNumberFormat="1" applyFont="1" applyFill="1" applyBorder="1" applyAlignment="1">
      <alignment horizontal="center" vertical="center"/>
    </xf>
    <xf numFmtId="165" fontId="46" fillId="26" borderId="17" xfId="0" applyNumberFormat="1" applyFont="1" applyFill="1" applyBorder="1" applyAlignment="1">
      <alignment horizontal="center" vertical="center"/>
    </xf>
    <xf numFmtId="1" fontId="46" fillId="26" borderId="17" xfId="0" applyNumberFormat="1" applyFont="1" applyFill="1" applyBorder="1" applyAlignment="1">
      <alignment horizontal="center" vertical="center"/>
    </xf>
    <xf numFmtId="9" fontId="46" fillId="26" borderId="17" xfId="40" applyFont="1" applyFill="1" applyBorder="1" applyAlignment="1" applyProtection="1">
      <alignment horizontal="center" vertical="center"/>
    </xf>
    <xf numFmtId="0" fontId="42" fillId="0" borderId="15" xfId="0" applyFont="1" applyBorder="1" applyAlignment="1">
      <alignment horizontal="left" vertical="center"/>
    </xf>
    <xf numFmtId="0" fontId="48" fillId="0" borderId="15" xfId="0" applyFont="1" applyBorder="1" applyAlignment="1">
      <alignment vertical="center" wrapText="1"/>
    </xf>
    <xf numFmtId="0" fontId="48" fillId="0" borderId="15" xfId="0" applyFont="1" applyBorder="1" applyAlignment="1">
      <alignment vertical="center"/>
    </xf>
    <xf numFmtId="0" fontId="46" fillId="0" borderId="15" xfId="0" applyFont="1" applyBorder="1" applyAlignment="1">
      <alignment horizontal="center" vertical="center"/>
    </xf>
    <xf numFmtId="165" fontId="67" fillId="24" borderId="15" xfId="0" applyNumberFormat="1" applyFont="1" applyFill="1" applyBorder="1" applyAlignment="1">
      <alignment horizontal="center" vertical="center"/>
    </xf>
    <xf numFmtId="165" fontId="67" fillId="0" borderId="15" xfId="0" applyNumberFormat="1" applyFont="1" applyBorder="1" applyAlignment="1">
      <alignment horizontal="center" vertical="center"/>
    </xf>
    <xf numFmtId="1" fontId="67" fillId="25" borderId="15" xfId="0" applyNumberFormat="1" applyFont="1" applyFill="1" applyBorder="1" applyAlignment="1">
      <alignment horizontal="center" vertical="center"/>
    </xf>
    <xf numFmtId="9" fontId="67" fillId="25" borderId="15" xfId="40" applyFont="1" applyFill="1" applyBorder="1" applyAlignment="1" applyProtection="1">
      <alignment horizontal="center" vertical="center"/>
    </xf>
    <xf numFmtId="0" fontId="42" fillId="26" borderId="15" xfId="0" applyFont="1" applyFill="1" applyBorder="1" applyAlignment="1">
      <alignment horizontal="left" vertical="center"/>
    </xf>
    <xf numFmtId="0" fontId="70" fillId="26" borderId="15" xfId="0" applyFont="1" applyFill="1" applyBorder="1" applyAlignment="1">
      <alignment vertical="center" wrapText="1"/>
    </xf>
    <xf numFmtId="0" fontId="42" fillId="26" borderId="15" xfId="0" applyFont="1" applyFill="1" applyBorder="1" applyAlignment="1">
      <alignment vertical="center"/>
    </xf>
    <xf numFmtId="0" fontId="46" fillId="26" borderId="15" xfId="0" applyFont="1" applyFill="1" applyBorder="1" applyAlignment="1">
      <alignment horizontal="center" vertical="center"/>
    </xf>
    <xf numFmtId="165" fontId="46" fillId="27" borderId="15" xfId="0" applyNumberFormat="1" applyFont="1" applyFill="1" applyBorder="1" applyAlignment="1">
      <alignment horizontal="center" vertical="center"/>
    </xf>
    <xf numFmtId="165" fontId="46" fillId="26" borderId="15" xfId="0" applyNumberFormat="1" applyFont="1" applyFill="1" applyBorder="1" applyAlignment="1">
      <alignment horizontal="center" vertical="center"/>
    </xf>
    <xf numFmtId="1" fontId="46" fillId="26" borderId="15" xfId="0" applyNumberFormat="1" applyFont="1" applyFill="1" applyBorder="1" applyAlignment="1">
      <alignment horizontal="center" vertical="center"/>
    </xf>
    <xf numFmtId="9" fontId="46" fillId="26" borderId="15" xfId="40" applyFont="1" applyFill="1" applyBorder="1" applyAlignment="1" applyProtection="1">
      <alignment horizontal="center" vertical="center"/>
    </xf>
    <xf numFmtId="0" fontId="51" fillId="28" borderId="15" xfId="0" applyFont="1" applyFill="1" applyBorder="1" applyAlignment="1">
      <alignment horizontal="left" vertical="center"/>
    </xf>
    <xf numFmtId="0" fontId="69" fillId="28" borderId="15" xfId="0" applyFont="1" applyFill="1" applyBorder="1" applyAlignment="1">
      <alignment horizontal="left" vertical="center"/>
    </xf>
    <xf numFmtId="0" fontId="51" fillId="28" borderId="15" xfId="0" applyFont="1" applyFill="1" applyBorder="1" applyAlignment="1">
      <alignment horizontal="center" vertical="center" wrapText="1"/>
    </xf>
    <xf numFmtId="0" fontId="52" fillId="28" borderId="15" xfId="0" applyFont="1" applyFill="1" applyBorder="1" applyAlignment="1">
      <alignment horizontal="center" vertical="center" wrapText="1"/>
    </xf>
    <xf numFmtId="0" fontId="51" fillId="28" borderId="15" xfId="0" applyFont="1" applyFill="1" applyBorder="1" applyAlignment="1">
      <alignment horizontal="center" vertical="center"/>
    </xf>
    <xf numFmtId="0" fontId="65" fillId="0" borderId="15" xfId="0" quotePrefix="1" applyFont="1" applyBorder="1" applyAlignment="1">
      <alignment horizontal="center" vertical="center"/>
    </xf>
    <xf numFmtId="0" fontId="48" fillId="0" borderId="26" xfId="0" applyFont="1" applyBorder="1" applyAlignment="1">
      <alignment vertical="center" wrapText="1"/>
    </xf>
    <xf numFmtId="0" fontId="65" fillId="0" borderId="26" xfId="0" quotePrefix="1" applyFont="1" applyBorder="1" applyAlignment="1">
      <alignment horizontal="center" vertical="center"/>
    </xf>
    <xf numFmtId="0" fontId="46" fillId="0" borderId="26" xfId="0" applyFont="1" applyBorder="1" applyAlignment="1">
      <alignment horizontal="center" vertical="center"/>
    </xf>
    <xf numFmtId="165" fontId="67" fillId="24" borderId="26" xfId="0" applyNumberFormat="1" applyFont="1" applyFill="1" applyBorder="1" applyAlignment="1">
      <alignment horizontal="center" vertical="center"/>
    </xf>
    <xf numFmtId="165" fontId="67" fillId="0" borderId="26" xfId="0" applyNumberFormat="1" applyFont="1" applyBorder="1" applyAlignment="1">
      <alignment horizontal="center" vertical="center"/>
    </xf>
    <xf numFmtId="1" fontId="67" fillId="25" borderId="26" xfId="0" applyNumberFormat="1" applyFont="1" applyFill="1" applyBorder="1" applyAlignment="1">
      <alignment horizontal="center" vertical="center"/>
    </xf>
    <xf numFmtId="165" fontId="72" fillId="24" borderId="11" xfId="0" applyNumberFormat="1" applyFont="1" applyFill="1" applyBorder="1" applyAlignment="1">
      <alignment horizontal="center" vertical="center"/>
    </xf>
    <xf numFmtId="0" fontId="66" fillId="0" borderId="19" xfId="0" applyFont="1" applyBorder="1" applyAlignment="1">
      <alignment horizontal="center" vertical="center"/>
    </xf>
    <xf numFmtId="0" fontId="66" fillId="0" borderId="0" xfId="0" applyFont="1" applyAlignment="1">
      <alignment horizontal="center" vertical="center"/>
    </xf>
    <xf numFmtId="0" fontId="66" fillId="0" borderId="20" xfId="0" applyFont="1" applyBorder="1" applyAlignment="1">
      <alignment horizontal="center" vertical="center"/>
    </xf>
    <xf numFmtId="167" fontId="45" fillId="0" borderId="19" xfId="0" applyNumberFormat="1" applyFont="1" applyBorder="1" applyAlignment="1">
      <alignment horizontal="center" vertical="center"/>
    </xf>
    <xf numFmtId="167" fontId="45" fillId="0" borderId="0" xfId="0" applyNumberFormat="1" applyFont="1" applyAlignment="1">
      <alignment horizontal="center" vertical="center"/>
    </xf>
    <xf numFmtId="167" fontId="45" fillId="0" borderId="20" xfId="0" applyNumberFormat="1" applyFont="1" applyBorder="1" applyAlignment="1">
      <alignment horizontal="center" vertical="center"/>
    </xf>
    <xf numFmtId="0" fontId="63" fillId="0" borderId="0" xfId="34" applyFont="1" applyBorder="1" applyAlignment="1" applyProtection="1">
      <alignment horizontal="left" vertical="center"/>
    </xf>
    <xf numFmtId="164" fontId="45" fillId="0" borderId="15" xfId="0" applyNumberFormat="1" applyFont="1" applyBorder="1" applyAlignment="1" applyProtection="1">
      <alignment horizontal="center" vertical="center" shrinkToFit="1"/>
      <protection locked="0"/>
    </xf>
    <xf numFmtId="164" fontId="48" fillId="0" borderId="17" xfId="0" applyNumberFormat="1" applyFont="1" applyBorder="1" applyAlignment="1" applyProtection="1">
      <alignment horizontal="center" vertical="center" shrinkToFit="1"/>
      <protection locked="0"/>
    </xf>
    <xf numFmtId="0" fontId="53" fillId="0" borderId="0" xfId="0" applyFont="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5">
    <dxf>
      <font>
        <color theme="0"/>
      </font>
      <fill>
        <patternFill>
          <bgColor theme="5"/>
        </patternFill>
      </fill>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1765556</xdr:colOff>
      <xdr:row>6</xdr:row>
      <xdr:rowOff>271484</xdr:rowOff>
    </xdr:from>
    <xdr:to>
      <xdr:col>6</xdr:col>
      <xdr:colOff>88319</xdr:colOff>
      <xdr:row>8</xdr:row>
      <xdr:rowOff>488013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3396" y="548640"/>
          <a:ext cx="2019299"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1"/>
          <a:ext cx="1504950" cy="3386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3374" y="1"/>
          <a:ext cx="1609725" cy="362188"/>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7" Type="http://schemas.openxmlformats.org/officeDocument/2006/relationships/comments" Target="../comments2.xm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JG53"/>
  <sheetViews>
    <sheetView showGridLines="0" tabSelected="1" zoomScale="40" zoomScaleNormal="40" workbookViewId="0">
      <pane ySplit="7" topLeftCell="A28" activePane="bottomLeft" state="frozen"/>
      <selection pane="bottomLeft" activeCell="AA46" sqref="AA46"/>
    </sheetView>
  </sheetViews>
  <sheetFormatPr defaultColWidth="9.1796875" defaultRowHeight="12.5" x14ac:dyDescent="0.25"/>
  <cols>
    <col min="1" max="1" width="6.81640625" customWidth="1"/>
    <col min="2" max="2" width="42" customWidth="1"/>
    <col min="3" max="3" width="37.90625" customWidth="1"/>
    <col min="4" max="4" width="9.26953125" customWidth="1"/>
    <col min="5" max="5" width="14.54296875" customWidth="1"/>
    <col min="6" max="6" width="14.453125" customWidth="1"/>
    <col min="7" max="7" width="7.26953125" customWidth="1"/>
    <col min="8" max="8" width="9.453125" customWidth="1"/>
    <col min="9" max="9" width="7.6328125" customWidth="1"/>
    <col min="10" max="10" width="1.81640625" customWidth="1"/>
    <col min="11" max="101" width="2.453125" customWidth="1"/>
    <col min="102" max="102" width="3.453125" customWidth="1"/>
    <col min="103" max="103" width="2.453125" customWidth="1"/>
    <col min="104" max="104" width="3.08984375" customWidth="1"/>
    <col min="105" max="105" width="2.26953125" customWidth="1"/>
    <col min="106" max="106" width="2.90625" customWidth="1"/>
    <col min="107" max="107" width="3.08984375" customWidth="1"/>
    <col min="108" max="108" width="2.7265625" customWidth="1"/>
    <col min="109" max="109" width="2.81640625" customWidth="1"/>
    <col min="110" max="110" width="2.6328125" customWidth="1"/>
    <col min="111" max="111" width="2.26953125" customWidth="1"/>
    <col min="112" max="112" width="2.7265625" customWidth="1"/>
    <col min="113" max="113" width="2.26953125" customWidth="1"/>
    <col min="114" max="114" width="2.81640625" customWidth="1"/>
    <col min="115" max="115" width="3" customWidth="1"/>
    <col min="116" max="116" width="2.54296875" customWidth="1"/>
    <col min="117" max="118" width="2.26953125" customWidth="1"/>
    <col min="119" max="119" width="1.81640625" customWidth="1"/>
    <col min="120" max="120" width="1.90625" customWidth="1"/>
    <col min="121" max="121" width="2.08984375" customWidth="1"/>
    <col min="122" max="122" width="2.1796875" customWidth="1"/>
    <col min="123" max="123" width="1.6328125" customWidth="1"/>
    <col min="124" max="124" width="2.36328125" customWidth="1"/>
    <col min="125" max="125" width="2.1796875" customWidth="1"/>
    <col min="126" max="126" width="1.81640625" customWidth="1"/>
    <col min="127" max="128" width="2.453125" customWidth="1"/>
    <col min="129" max="129" width="2.36328125" customWidth="1"/>
    <col min="130" max="130" width="2.08984375" customWidth="1"/>
    <col min="131" max="131" width="2.453125" customWidth="1"/>
    <col min="132" max="132" width="2" customWidth="1"/>
    <col min="133" max="133" width="2.26953125" customWidth="1"/>
    <col min="134" max="134" width="2.1796875" customWidth="1"/>
    <col min="135" max="135" width="1.7265625" customWidth="1"/>
    <col min="136" max="136" width="2.54296875" customWidth="1"/>
    <col min="137" max="137" width="2.90625" customWidth="1"/>
    <col min="138" max="138" width="2.6328125" customWidth="1"/>
    <col min="139" max="139" width="2.08984375" customWidth="1"/>
    <col min="140" max="141" width="2.54296875" customWidth="1"/>
    <col min="142" max="142" width="3.1796875" customWidth="1"/>
    <col min="143" max="143" width="2.90625" customWidth="1"/>
    <col min="144" max="144" width="3.1796875" customWidth="1"/>
    <col min="145" max="145" width="2.90625" customWidth="1"/>
    <col min="146" max="146" width="2.453125" customWidth="1"/>
    <col min="147" max="147" width="2.81640625" customWidth="1"/>
    <col min="148" max="148" width="2.7265625" customWidth="1"/>
    <col min="149" max="150" width="2.6328125" customWidth="1"/>
    <col min="151" max="152" width="2.36328125" customWidth="1"/>
    <col min="153" max="153" width="2.81640625" customWidth="1"/>
    <col min="154" max="154" width="3.1796875" customWidth="1"/>
    <col min="155" max="155" width="2.54296875" customWidth="1"/>
    <col min="156" max="156" width="2.36328125" customWidth="1"/>
    <col min="157" max="157" width="2.54296875" customWidth="1"/>
    <col min="158" max="158" width="2.453125" customWidth="1"/>
    <col min="159" max="159" width="2.7265625" customWidth="1"/>
    <col min="160" max="160" width="2.54296875" customWidth="1"/>
    <col min="161" max="162" width="2.08984375" customWidth="1"/>
    <col min="163" max="163" width="2.6328125" customWidth="1"/>
    <col min="164" max="164" width="2.453125" customWidth="1"/>
    <col min="165" max="165" width="1.7265625" customWidth="1"/>
    <col min="166" max="166" width="2.26953125" customWidth="1"/>
    <col min="167" max="167" width="2.54296875" customWidth="1"/>
    <col min="168" max="168" width="1.90625" customWidth="1"/>
    <col min="169" max="169" width="2.08984375" customWidth="1"/>
    <col min="170" max="170" width="2.54296875" customWidth="1"/>
    <col min="171" max="171" width="2.36328125" customWidth="1"/>
    <col min="172" max="172" width="2.26953125" customWidth="1"/>
    <col min="173" max="173" width="2.36328125" customWidth="1"/>
    <col min="174" max="174" width="2.08984375" customWidth="1"/>
    <col min="175" max="175" width="2.453125" customWidth="1"/>
    <col min="176" max="176" width="1.7265625" customWidth="1"/>
    <col min="177" max="177" width="2.7265625" customWidth="1"/>
    <col min="178" max="178" width="2.90625" customWidth="1"/>
    <col min="179" max="179" width="2.36328125" customWidth="1"/>
    <col min="180" max="180" width="2.54296875" customWidth="1"/>
    <col min="181" max="181" width="3.08984375" customWidth="1"/>
    <col min="182" max="182" width="2.54296875" customWidth="1"/>
    <col min="183" max="183" width="2.7265625" customWidth="1"/>
    <col min="184" max="184" width="2.6328125" customWidth="1"/>
    <col min="185" max="185" width="2.36328125" customWidth="1"/>
    <col min="186" max="186" width="2.26953125" customWidth="1"/>
    <col min="187" max="187" width="3" customWidth="1"/>
    <col min="188" max="188" width="2.7265625" customWidth="1"/>
    <col min="189" max="191" width="2.54296875" customWidth="1"/>
    <col min="192" max="192" width="2.6328125" customWidth="1"/>
    <col min="193" max="193" width="2.54296875" customWidth="1"/>
    <col min="194" max="194" width="2.36328125" customWidth="1"/>
    <col min="195" max="195" width="2.7265625" customWidth="1"/>
    <col min="196" max="196" width="2.6328125" customWidth="1"/>
    <col min="197" max="197" width="2.08984375" customWidth="1"/>
    <col min="198" max="198" width="2.36328125" customWidth="1"/>
    <col min="199" max="199" width="2.54296875" customWidth="1"/>
    <col min="200" max="200" width="2.453125" customWidth="1"/>
    <col min="201" max="201" width="2.6328125" customWidth="1"/>
    <col min="202" max="202" width="2.7265625" customWidth="1"/>
    <col min="203" max="203" width="2.54296875" customWidth="1"/>
    <col min="204" max="204" width="2.6328125" customWidth="1"/>
    <col min="205" max="205" width="2.90625" customWidth="1"/>
    <col min="206" max="206" width="3.1796875" customWidth="1"/>
    <col min="207" max="207" width="2.453125" customWidth="1"/>
    <col min="208" max="208" width="2.54296875" customWidth="1"/>
    <col min="209" max="209" width="2.453125" customWidth="1"/>
    <col min="210" max="210" width="2.54296875" customWidth="1"/>
    <col min="211" max="211" width="3" customWidth="1"/>
    <col min="212" max="212" width="2.7265625" customWidth="1"/>
    <col min="213" max="213" width="2.26953125" customWidth="1"/>
    <col min="214" max="214" width="2.08984375" customWidth="1"/>
    <col min="215" max="216" width="2.36328125" customWidth="1"/>
    <col min="217" max="217" width="2.54296875" customWidth="1"/>
    <col min="218" max="218" width="2.453125" customWidth="1"/>
    <col min="219" max="219" width="2.54296875" customWidth="1"/>
    <col min="220" max="220" width="2.08984375" customWidth="1"/>
    <col min="221" max="221" width="2.6328125" customWidth="1"/>
    <col min="222" max="222" width="3" customWidth="1"/>
    <col min="223" max="223" width="2.36328125" customWidth="1"/>
    <col min="224" max="224" width="3.08984375" customWidth="1"/>
    <col min="225" max="225" width="2.36328125" customWidth="1"/>
    <col min="226" max="226" width="2.90625" customWidth="1"/>
    <col min="227" max="227" width="2.26953125" customWidth="1"/>
    <col min="228" max="228" width="1.90625" customWidth="1"/>
    <col min="229" max="229" width="2.6328125" customWidth="1"/>
    <col min="230" max="230" width="2.453125" customWidth="1"/>
    <col min="231" max="231" width="2.7265625" customWidth="1"/>
    <col min="232" max="232" width="2.90625" customWidth="1"/>
    <col min="233" max="233" width="2.7265625" customWidth="1"/>
    <col min="234" max="235" width="2.26953125" customWidth="1"/>
    <col min="236" max="236" width="1.7265625" customWidth="1"/>
    <col min="237" max="238" width="2" customWidth="1"/>
    <col min="239" max="239" width="2.7265625" customWidth="1"/>
    <col min="240" max="240" width="2.6328125" customWidth="1"/>
    <col min="241" max="241" width="2.36328125" customWidth="1"/>
    <col min="242" max="242" width="2.54296875" customWidth="1"/>
    <col min="243" max="243" width="2.6328125" customWidth="1"/>
    <col min="244" max="244" width="2.7265625" customWidth="1"/>
    <col min="245" max="245" width="2.453125" customWidth="1"/>
    <col min="246" max="246" width="3" customWidth="1"/>
    <col min="247" max="247" width="2.453125" customWidth="1"/>
    <col min="248" max="248" width="2.08984375" customWidth="1"/>
    <col min="249" max="250" width="3" customWidth="1"/>
    <col min="251" max="251" width="2.54296875" customWidth="1"/>
    <col min="252" max="252" width="3.54296875" customWidth="1"/>
    <col min="253" max="253" width="3.08984375" customWidth="1"/>
    <col min="254" max="254" width="3" customWidth="1"/>
    <col min="255" max="255" width="2.7265625" customWidth="1"/>
    <col min="256" max="256" width="3.26953125" customWidth="1"/>
    <col min="257" max="257" width="2.453125" customWidth="1"/>
    <col min="258" max="258" width="3.81640625" customWidth="1"/>
    <col min="259" max="259" width="2.6328125" customWidth="1"/>
    <col min="260" max="260" width="3.54296875" customWidth="1"/>
    <col min="261" max="261" width="2.08984375" customWidth="1"/>
    <col min="262" max="262" width="3" customWidth="1"/>
  </cols>
  <sheetData>
    <row r="1" spans="1:262" ht="30" customHeight="1" x14ac:dyDescent="0.25">
      <c r="A1" s="119" t="s">
        <v>178</v>
      </c>
      <c r="B1" s="29"/>
      <c r="C1" s="29"/>
      <c r="D1" s="29"/>
      <c r="E1" s="29"/>
      <c r="F1" s="29"/>
      <c r="I1" s="40"/>
      <c r="K1" s="192"/>
      <c r="L1" s="192"/>
      <c r="M1" s="192"/>
      <c r="N1" s="192"/>
      <c r="O1" s="192"/>
      <c r="P1" s="192"/>
      <c r="Q1" s="192"/>
      <c r="R1" s="192"/>
      <c r="S1" s="192"/>
      <c r="T1" s="192"/>
      <c r="U1" s="192"/>
      <c r="V1" s="192"/>
      <c r="W1" s="192"/>
      <c r="X1" s="192"/>
      <c r="Y1" s="192"/>
      <c r="Z1" s="192"/>
      <c r="AA1" s="192"/>
      <c r="AB1" s="192"/>
      <c r="AC1" s="192"/>
      <c r="AD1" s="192"/>
      <c r="AE1" s="192"/>
    </row>
    <row r="2" spans="1:262" ht="25" customHeight="1" x14ac:dyDescent="0.25">
      <c r="A2" s="118" t="s">
        <v>142</v>
      </c>
      <c r="B2" s="12"/>
      <c r="C2" s="12"/>
      <c r="D2" s="19"/>
      <c r="E2" s="64"/>
      <c r="F2" s="64"/>
      <c r="H2" s="1"/>
    </row>
    <row r="3" spans="1:262" ht="14" x14ac:dyDescent="0.25">
      <c r="A3" s="31"/>
      <c r="B3" s="2"/>
      <c r="H3" s="1"/>
      <c r="K3" s="18"/>
      <c r="L3" s="18"/>
      <c r="M3" s="18"/>
      <c r="N3" s="18"/>
      <c r="O3" s="18"/>
      <c r="P3" s="18"/>
      <c r="Q3" s="18"/>
      <c r="R3" s="18"/>
      <c r="S3" s="18"/>
      <c r="T3" s="18"/>
      <c r="U3" s="18"/>
      <c r="V3" s="18"/>
      <c r="W3" s="18"/>
      <c r="X3" s="18"/>
      <c r="Y3" s="18"/>
      <c r="Z3" s="18"/>
      <c r="AA3" s="18"/>
    </row>
    <row r="4" spans="1:262" ht="16.5" customHeight="1" x14ac:dyDescent="0.25">
      <c r="A4" s="36"/>
      <c r="B4" s="120" t="s">
        <v>68</v>
      </c>
      <c r="C4" s="194">
        <v>45929</v>
      </c>
      <c r="D4" s="194"/>
      <c r="E4" s="194"/>
      <c r="F4" s="36"/>
      <c r="G4" s="115" t="s">
        <v>67</v>
      </c>
      <c r="H4" s="116">
        <v>1</v>
      </c>
      <c r="I4" s="2"/>
      <c r="J4" s="30"/>
      <c r="K4" s="186" t="str">
        <f>"Week "&amp;(K6-($C$4-WEEKDAY($C$4,1)+2))/7+1</f>
        <v>Week 1</v>
      </c>
      <c r="L4" s="187"/>
      <c r="M4" s="187"/>
      <c r="N4" s="187"/>
      <c r="O4" s="187"/>
      <c r="P4" s="187"/>
      <c r="Q4" s="188"/>
      <c r="R4" s="186" t="str">
        <f>"Week "&amp;(R6-($C$4-WEEKDAY($C$4,1)+2))/7+1</f>
        <v>Week 2</v>
      </c>
      <c r="S4" s="187"/>
      <c r="T4" s="187"/>
      <c r="U4" s="187"/>
      <c r="V4" s="187"/>
      <c r="W4" s="187"/>
      <c r="X4" s="188"/>
      <c r="Y4" s="186" t="str">
        <f>"Week "&amp;(Y6-($C$4-WEEKDAY($C$4,1)+2))/7+1</f>
        <v>Week 3</v>
      </c>
      <c r="Z4" s="187"/>
      <c r="AA4" s="187"/>
      <c r="AB4" s="187"/>
      <c r="AC4" s="187"/>
      <c r="AD4" s="187"/>
      <c r="AE4" s="188"/>
      <c r="AF4" s="186" t="str">
        <f>"Week "&amp;(AF6-($C$4-WEEKDAY($C$4,1)+2))/7+1</f>
        <v>Week 4</v>
      </c>
      <c r="AG4" s="187"/>
      <c r="AH4" s="187"/>
      <c r="AI4" s="187"/>
      <c r="AJ4" s="187"/>
      <c r="AK4" s="187"/>
      <c r="AL4" s="188"/>
      <c r="AM4" s="186" t="str">
        <f>"Week "&amp;(AM6-($C$4-WEEKDAY($C$4,1)+2))/7+1</f>
        <v>Week 5</v>
      </c>
      <c r="AN4" s="187"/>
      <c r="AO4" s="187"/>
      <c r="AP4" s="187"/>
      <c r="AQ4" s="187"/>
      <c r="AR4" s="187"/>
      <c r="AS4" s="188"/>
      <c r="AT4" s="186" t="str">
        <f>"Week "&amp;(AT6-($C$4-WEEKDAY($C$4,1)+2))/7+1</f>
        <v>Week 6</v>
      </c>
      <c r="AU4" s="187"/>
      <c r="AV4" s="187"/>
      <c r="AW4" s="187"/>
      <c r="AX4" s="187"/>
      <c r="AY4" s="187"/>
      <c r="AZ4" s="188"/>
      <c r="BA4" s="186" t="str">
        <f>"Week "&amp;(BA6-($C$4-WEEKDAY($C$4,1)+2))/7+1</f>
        <v>Week 7</v>
      </c>
      <c r="BB4" s="187"/>
      <c r="BC4" s="187"/>
      <c r="BD4" s="187"/>
      <c r="BE4" s="187"/>
      <c r="BF4" s="187"/>
      <c r="BG4" s="188"/>
      <c r="BH4" s="186" t="str">
        <f>"Week "&amp;(BH6-($C$4-WEEKDAY($C$4,1)+2))/7+1</f>
        <v>Week 8</v>
      </c>
      <c r="BI4" s="187"/>
      <c r="BJ4" s="187"/>
      <c r="BK4" s="187"/>
      <c r="BL4" s="187"/>
      <c r="BM4" s="187"/>
      <c r="BN4" s="188"/>
      <c r="BO4" s="187" t="str">
        <f>"Week "&amp;(BO6-($C$4-WEEKDAY($C$4,1)+2))/7+1</f>
        <v>Week 9</v>
      </c>
      <c r="BP4" s="187"/>
      <c r="BQ4" s="187"/>
      <c r="BR4" s="187"/>
      <c r="BS4" s="187"/>
      <c r="BT4" s="187"/>
      <c r="BU4" s="188"/>
      <c r="BV4" s="186" t="str">
        <f>"Week "&amp;(BV6-($C$4-WEEKDAY($C$4,1)+2))/7+1</f>
        <v>Week 10</v>
      </c>
      <c r="BW4" s="187"/>
      <c r="BX4" s="187"/>
      <c r="BY4" s="187"/>
      <c r="BZ4" s="187"/>
      <c r="CA4" s="187"/>
      <c r="CB4" s="188"/>
      <c r="CC4" s="186" t="str">
        <f>"Week "&amp;(CC6-($C$4-WEEKDAY($C$4,1)+2))/7+1</f>
        <v>Week 11</v>
      </c>
      <c r="CD4" s="187"/>
      <c r="CE4" s="187"/>
      <c r="CF4" s="187"/>
      <c r="CG4" s="187"/>
      <c r="CH4" s="187"/>
      <c r="CI4" s="188"/>
      <c r="CJ4" s="186" t="str">
        <f>"Week "&amp;(CJ6-($C$4-WEEKDAY($C$4,1)+2))/7+1</f>
        <v>Week 12</v>
      </c>
      <c r="CK4" s="187"/>
      <c r="CL4" s="187"/>
      <c r="CM4" s="187"/>
      <c r="CN4" s="187"/>
      <c r="CO4" s="187"/>
      <c r="CP4" s="188"/>
      <c r="CQ4" s="186" t="str">
        <f>"Week "&amp;(CQ6-($C$4-WEEKDAY($C$4,1)+2))/7+1</f>
        <v>Week 13</v>
      </c>
      <c r="CR4" s="187"/>
      <c r="CS4" s="187"/>
      <c r="CT4" s="187"/>
      <c r="CU4" s="187"/>
      <c r="CV4" s="187"/>
      <c r="CW4" s="188"/>
      <c r="CX4" s="186" t="str">
        <f>"Week "&amp;(CX6-($C$4-WEEKDAY($C$4,1)+2))/7+1</f>
        <v>Week 14</v>
      </c>
      <c r="CY4" s="187"/>
      <c r="CZ4" s="187"/>
      <c r="DA4" s="187"/>
      <c r="DB4" s="187"/>
      <c r="DC4" s="187"/>
      <c r="DD4" s="188"/>
      <c r="DE4" s="186" t="str">
        <f>"Week "&amp;(DE6-($C$4-WEEKDAY($C$4,1)+2))/7+1</f>
        <v>Week 15</v>
      </c>
      <c r="DF4" s="187"/>
      <c r="DG4" s="187"/>
      <c r="DH4" s="187"/>
      <c r="DI4" s="187"/>
      <c r="DJ4" s="187"/>
      <c r="DK4" s="188"/>
      <c r="DL4" s="186" t="str">
        <f>"Week "&amp;(DL6-($C$4-WEEKDAY($C$4,1)+2))/7+1</f>
        <v>Week 16</v>
      </c>
      <c r="DM4" s="187"/>
      <c r="DN4" s="187"/>
      <c r="DO4" s="187"/>
      <c r="DP4" s="187"/>
      <c r="DQ4" s="187"/>
      <c r="DR4" s="188"/>
      <c r="DS4" s="186" t="str">
        <f>"Week "&amp;(DS6-($C$4-WEEKDAY($C$4,1)+2))/7+1</f>
        <v>Week 17</v>
      </c>
      <c r="DT4" s="187"/>
      <c r="DU4" s="187"/>
      <c r="DV4" s="187"/>
      <c r="DW4" s="187"/>
      <c r="DX4" s="187"/>
      <c r="DY4" s="188"/>
      <c r="DZ4" s="186" t="str">
        <f>"Week "&amp;(DZ6-($C$4-WEEKDAY($C$4,1)+2))/7+1</f>
        <v>Week 18</v>
      </c>
      <c r="EA4" s="187"/>
      <c r="EB4" s="187"/>
      <c r="EC4" s="187"/>
      <c r="ED4" s="187"/>
      <c r="EE4" s="187"/>
      <c r="EF4" s="188"/>
      <c r="EG4" s="186" t="str">
        <f>"Week "&amp;(EG6-($C$4-WEEKDAY($C$4,1)+2))/7+1</f>
        <v>Week 19</v>
      </c>
      <c r="EH4" s="187"/>
      <c r="EI4" s="187"/>
      <c r="EJ4" s="187"/>
      <c r="EK4" s="187"/>
      <c r="EL4" s="187"/>
      <c r="EM4" s="188"/>
      <c r="EN4" s="186" t="str">
        <f>"Week "&amp;(EN6-($C$4-WEEKDAY($C$4,1)+2))/7+1</f>
        <v>Week 20</v>
      </c>
      <c r="EO4" s="187"/>
      <c r="EP4" s="187"/>
      <c r="EQ4" s="187"/>
      <c r="ER4" s="187"/>
      <c r="ES4" s="187"/>
      <c r="ET4" s="188"/>
      <c r="EU4" s="186" t="str">
        <f>"Week "&amp;(EU6-($C$4-WEEKDAY($C$4,1)+2))/7+1</f>
        <v>Week 21</v>
      </c>
      <c r="EV4" s="187"/>
      <c r="EW4" s="187"/>
      <c r="EX4" s="187"/>
      <c r="EY4" s="187"/>
      <c r="EZ4" s="187"/>
      <c r="FA4" s="188"/>
      <c r="FB4" s="186" t="str">
        <f>"Week "&amp;(FB6-($C$4-WEEKDAY($C$4,1)+2))/7+1</f>
        <v>Week 22</v>
      </c>
      <c r="FC4" s="187"/>
      <c r="FD4" s="187"/>
      <c r="FE4" s="187"/>
      <c r="FF4" s="187"/>
      <c r="FG4" s="187"/>
      <c r="FH4" s="188"/>
      <c r="FI4" s="186" t="str">
        <f>"Week "&amp;(FI6-($C$4-WEEKDAY($C$4,1)+2))/7+1</f>
        <v>Week 23</v>
      </c>
      <c r="FJ4" s="187"/>
      <c r="FK4" s="187"/>
      <c r="FL4" s="187"/>
      <c r="FM4" s="187"/>
      <c r="FN4" s="187"/>
      <c r="FO4" s="188"/>
      <c r="FP4" s="186" t="str">
        <f>"Week "&amp;(FP6-($C$4-WEEKDAY($C$4,1)+2))/7+1</f>
        <v>Week 24</v>
      </c>
      <c r="FQ4" s="187"/>
      <c r="FR4" s="187"/>
      <c r="FS4" s="187"/>
      <c r="FT4" s="187"/>
      <c r="FU4" s="187"/>
      <c r="FV4" s="188"/>
      <c r="FW4" s="186" t="str">
        <f>"Week "&amp;(FW6-($C$4-WEEKDAY($C$4,1)+2))/7+1</f>
        <v>Week 25</v>
      </c>
      <c r="FX4" s="187"/>
      <c r="FY4" s="187"/>
      <c r="FZ4" s="187"/>
      <c r="GA4" s="187"/>
      <c r="GB4" s="187"/>
      <c r="GC4" s="188"/>
      <c r="GD4" s="186" t="str">
        <f>"Week "&amp;(GD6-($C$4-WEEKDAY($C$4,1)+2))/7+1</f>
        <v>Week 26</v>
      </c>
      <c r="GE4" s="187"/>
      <c r="GF4" s="187"/>
      <c r="GG4" s="187"/>
      <c r="GH4" s="187"/>
      <c r="GI4" s="187"/>
      <c r="GJ4" s="188"/>
      <c r="GK4" s="186" t="str">
        <f>"Week "&amp;(GK6-($C$4-WEEKDAY($C$4,1)+2))/7+1</f>
        <v>Week 27</v>
      </c>
      <c r="GL4" s="187"/>
      <c r="GM4" s="187"/>
      <c r="GN4" s="187"/>
      <c r="GO4" s="187"/>
      <c r="GP4" s="187"/>
      <c r="GQ4" s="188"/>
      <c r="GR4" s="186" t="str">
        <f>"Week "&amp;(GR6-($C$4-WEEKDAY($C$4,1)+2))/7+1</f>
        <v>Week 28</v>
      </c>
      <c r="GS4" s="187"/>
      <c r="GT4" s="187"/>
      <c r="GU4" s="187"/>
      <c r="GV4" s="187"/>
      <c r="GW4" s="187"/>
      <c r="GX4" s="188"/>
      <c r="GY4" s="186" t="str">
        <f>"Week "&amp;(GY6-($C$4-WEEKDAY($C$4,1)+2))/7+1</f>
        <v>Week 29</v>
      </c>
      <c r="GZ4" s="187"/>
      <c r="HA4" s="187"/>
      <c r="HB4" s="187"/>
      <c r="HC4" s="187"/>
      <c r="HD4" s="187"/>
      <c r="HE4" s="188"/>
      <c r="HF4" s="186" t="str">
        <f>"Week "&amp;(HF6-($C$4-WEEKDAY($C$4,1)+2))/7+1</f>
        <v>Week 30</v>
      </c>
      <c r="HG4" s="187"/>
      <c r="HH4" s="187"/>
      <c r="HI4" s="187"/>
      <c r="HJ4" s="187"/>
      <c r="HK4" s="187"/>
      <c r="HL4" s="188"/>
      <c r="HM4" s="186" t="str">
        <f>"Week "&amp;(HM6-($C$4-WEEKDAY($C$4,1)+2))/7+1</f>
        <v>Week 31</v>
      </c>
      <c r="HN4" s="187"/>
      <c r="HO4" s="187"/>
      <c r="HP4" s="187"/>
      <c r="HQ4" s="187"/>
      <c r="HR4" s="187"/>
      <c r="HS4" s="188"/>
      <c r="HT4" s="186" t="str">
        <f>"Week "&amp;(HT6-($C$4-WEEKDAY($C$4,1)+2))/7+1</f>
        <v>Week 32</v>
      </c>
      <c r="HU4" s="187"/>
      <c r="HV4" s="187"/>
      <c r="HW4" s="187"/>
      <c r="HX4" s="187"/>
      <c r="HY4" s="187"/>
      <c r="HZ4" s="188"/>
      <c r="IA4" s="186" t="str">
        <f>"Week "&amp;(IA6-($C$4-WEEKDAY($C$4,1)+2))/7+1</f>
        <v>Week 33</v>
      </c>
      <c r="IB4" s="187"/>
      <c r="IC4" s="187"/>
      <c r="ID4" s="187"/>
      <c r="IE4" s="187"/>
      <c r="IF4" s="187"/>
      <c r="IG4" s="188"/>
      <c r="IH4" s="186" t="str">
        <f>"Week "&amp;(IH6-($C$4-WEEKDAY($C$4,1)+2))/7+1</f>
        <v>Week 34</v>
      </c>
      <c r="II4" s="187"/>
      <c r="IJ4" s="187"/>
      <c r="IK4" s="187"/>
      <c r="IL4" s="187"/>
      <c r="IM4" s="187"/>
      <c r="IN4" s="188"/>
      <c r="IO4" s="186" t="str">
        <f>"Week "&amp;(IO6-($C$4-WEEKDAY($C$4,1)+2))/7+1</f>
        <v>Week 35</v>
      </c>
      <c r="IP4" s="187"/>
      <c r="IQ4" s="187"/>
      <c r="IR4" s="187"/>
      <c r="IS4" s="187"/>
      <c r="IT4" s="187"/>
      <c r="IU4" s="188"/>
      <c r="IV4" s="186" t="str">
        <f>"Week "&amp;(IV6-($C$4-WEEKDAY($C$4,1)+2))/7+1</f>
        <v>Week 36</v>
      </c>
      <c r="IW4" s="187"/>
      <c r="IX4" s="187"/>
      <c r="IY4" s="187"/>
      <c r="IZ4" s="187"/>
      <c r="JA4" s="187"/>
      <c r="JB4" s="188"/>
    </row>
    <row r="5" spans="1:262" ht="17.25" hidden="1" customHeight="1" x14ac:dyDescent="0.25">
      <c r="A5" s="36"/>
      <c r="B5" s="37" t="s">
        <v>69</v>
      </c>
      <c r="C5" s="193" t="s">
        <v>133</v>
      </c>
      <c r="D5" s="193"/>
      <c r="E5" s="193"/>
      <c r="F5" s="36"/>
      <c r="G5" s="36"/>
      <c r="H5" s="36"/>
      <c r="I5" s="36"/>
      <c r="J5" s="30"/>
      <c r="K5" s="189">
        <f>K6</f>
        <v>45929</v>
      </c>
      <c r="L5" s="190"/>
      <c r="M5" s="190"/>
      <c r="N5" s="190"/>
      <c r="O5" s="190"/>
      <c r="P5" s="190"/>
      <c r="Q5" s="191"/>
      <c r="R5" s="189">
        <f>R6</f>
        <v>45936</v>
      </c>
      <c r="S5" s="190"/>
      <c r="T5" s="190"/>
      <c r="U5" s="190"/>
      <c r="V5" s="190"/>
      <c r="W5" s="190"/>
      <c r="X5" s="191"/>
      <c r="Y5" s="189">
        <f>Y6</f>
        <v>45943</v>
      </c>
      <c r="Z5" s="190"/>
      <c r="AA5" s="190"/>
      <c r="AB5" s="190"/>
      <c r="AC5" s="190"/>
      <c r="AD5" s="190"/>
      <c r="AE5" s="191"/>
      <c r="AF5" s="189">
        <f>AF6</f>
        <v>45950</v>
      </c>
      <c r="AG5" s="190"/>
      <c r="AH5" s="190"/>
      <c r="AI5" s="190"/>
      <c r="AJ5" s="190"/>
      <c r="AK5" s="190"/>
      <c r="AL5" s="191"/>
      <c r="AM5" s="189">
        <f>AM6</f>
        <v>45957</v>
      </c>
      <c r="AN5" s="190"/>
      <c r="AO5" s="190"/>
      <c r="AP5" s="190"/>
      <c r="AQ5" s="190"/>
      <c r="AR5" s="190"/>
      <c r="AS5" s="191"/>
      <c r="AT5" s="189">
        <f>AT6</f>
        <v>45964</v>
      </c>
      <c r="AU5" s="190"/>
      <c r="AV5" s="190"/>
      <c r="AW5" s="190"/>
      <c r="AX5" s="190"/>
      <c r="AY5" s="190"/>
      <c r="AZ5" s="191"/>
      <c r="BA5" s="189">
        <f>BA6</f>
        <v>45971</v>
      </c>
      <c r="BB5" s="190"/>
      <c r="BC5" s="190"/>
      <c r="BD5" s="190"/>
      <c r="BE5" s="190"/>
      <c r="BF5" s="190"/>
      <c r="BG5" s="191"/>
      <c r="BH5" s="189">
        <f>BH6</f>
        <v>45978</v>
      </c>
      <c r="BI5" s="190"/>
      <c r="BJ5" s="190"/>
      <c r="BK5" s="190"/>
      <c r="BL5" s="190"/>
      <c r="BM5" s="190"/>
      <c r="BN5" s="191"/>
      <c r="BO5" s="190">
        <f>BO6</f>
        <v>45985</v>
      </c>
      <c r="BP5" s="190"/>
      <c r="BQ5" s="190"/>
      <c r="BR5" s="190"/>
      <c r="BS5" s="190"/>
      <c r="BT5" s="190"/>
      <c r="BU5" s="191"/>
      <c r="BV5" s="189">
        <f>BV6</f>
        <v>45992</v>
      </c>
      <c r="BW5" s="190"/>
      <c r="BX5" s="190"/>
      <c r="BY5" s="190"/>
      <c r="BZ5" s="190"/>
      <c r="CA5" s="190"/>
      <c r="CB5" s="191"/>
      <c r="CC5" s="189">
        <f>CC6</f>
        <v>45999</v>
      </c>
      <c r="CD5" s="190"/>
      <c r="CE5" s="190"/>
      <c r="CF5" s="190"/>
      <c r="CG5" s="190"/>
      <c r="CH5" s="190"/>
      <c r="CI5" s="191"/>
      <c r="CJ5" s="189">
        <f>CJ6</f>
        <v>46006</v>
      </c>
      <c r="CK5" s="190"/>
      <c r="CL5" s="190"/>
      <c r="CM5" s="190"/>
      <c r="CN5" s="190"/>
      <c r="CO5" s="190"/>
      <c r="CP5" s="191"/>
      <c r="CQ5" s="189">
        <f>CQ6</f>
        <v>46013</v>
      </c>
      <c r="CR5" s="190"/>
      <c r="CS5" s="190"/>
      <c r="CT5" s="190"/>
      <c r="CU5" s="190"/>
      <c r="CV5" s="190"/>
      <c r="CW5" s="191"/>
      <c r="CX5" s="189">
        <f>CX6</f>
        <v>46020</v>
      </c>
      <c r="CY5" s="190"/>
      <c r="CZ5" s="190"/>
      <c r="DA5" s="190"/>
      <c r="DB5" s="190"/>
      <c r="DC5" s="190"/>
      <c r="DD5" s="191"/>
      <c r="DE5" s="189">
        <f>DE6</f>
        <v>46027</v>
      </c>
      <c r="DF5" s="190"/>
      <c r="DG5" s="190"/>
      <c r="DH5" s="190"/>
      <c r="DI5" s="190"/>
      <c r="DJ5" s="190"/>
      <c r="DK5" s="191"/>
      <c r="DL5" s="189">
        <f>DL6</f>
        <v>46034</v>
      </c>
      <c r="DM5" s="190"/>
      <c r="DN5" s="190"/>
      <c r="DO5" s="190"/>
      <c r="DP5" s="190"/>
      <c r="DQ5" s="190"/>
      <c r="DR5" s="191"/>
      <c r="DS5" s="189">
        <f>DS6</f>
        <v>46041</v>
      </c>
      <c r="DT5" s="190"/>
      <c r="DU5" s="190"/>
      <c r="DV5" s="190"/>
      <c r="DW5" s="190"/>
      <c r="DX5" s="190"/>
      <c r="DY5" s="191"/>
      <c r="DZ5" s="189">
        <f>DZ6</f>
        <v>46048</v>
      </c>
      <c r="EA5" s="190"/>
      <c r="EB5" s="190"/>
      <c r="EC5" s="190"/>
      <c r="ED5" s="190"/>
      <c r="EE5" s="190"/>
      <c r="EF5" s="191"/>
      <c r="EG5" s="189">
        <f>EG6</f>
        <v>46055</v>
      </c>
      <c r="EH5" s="190"/>
      <c r="EI5" s="190"/>
      <c r="EJ5" s="190"/>
      <c r="EK5" s="190"/>
      <c r="EL5" s="190"/>
      <c r="EM5" s="191"/>
      <c r="EN5" s="189">
        <f>EN6</f>
        <v>46062</v>
      </c>
      <c r="EO5" s="190"/>
      <c r="EP5" s="190"/>
      <c r="EQ5" s="190"/>
      <c r="ER5" s="190"/>
      <c r="ES5" s="190"/>
      <c r="ET5" s="191"/>
      <c r="EU5" s="189">
        <f>EU6</f>
        <v>46069</v>
      </c>
      <c r="EV5" s="190"/>
      <c r="EW5" s="190"/>
      <c r="EX5" s="190"/>
      <c r="EY5" s="190"/>
      <c r="EZ5" s="190"/>
      <c r="FA5" s="191"/>
      <c r="FB5" s="189">
        <f>FB6</f>
        <v>46076</v>
      </c>
      <c r="FC5" s="190"/>
      <c r="FD5" s="190"/>
      <c r="FE5" s="190"/>
      <c r="FF5" s="190"/>
      <c r="FG5" s="190"/>
      <c r="FH5" s="191"/>
      <c r="FI5" s="189">
        <f>FI6</f>
        <v>46083</v>
      </c>
      <c r="FJ5" s="190"/>
      <c r="FK5" s="190"/>
      <c r="FL5" s="190"/>
      <c r="FM5" s="190"/>
      <c r="FN5" s="190"/>
      <c r="FO5" s="191"/>
      <c r="FP5" s="189">
        <f>FP6</f>
        <v>46090</v>
      </c>
      <c r="FQ5" s="190"/>
      <c r="FR5" s="190"/>
      <c r="FS5" s="190"/>
      <c r="FT5" s="190"/>
      <c r="FU5" s="190"/>
      <c r="FV5" s="191"/>
      <c r="FW5" s="189">
        <f>FW6</f>
        <v>46097</v>
      </c>
      <c r="FX5" s="190"/>
      <c r="FY5" s="190"/>
      <c r="FZ5" s="190"/>
      <c r="GA5" s="190"/>
      <c r="GB5" s="190"/>
      <c r="GC5" s="191"/>
      <c r="GD5" s="189">
        <f>GD6</f>
        <v>46104</v>
      </c>
      <c r="GE5" s="190"/>
      <c r="GF5" s="190"/>
      <c r="GG5" s="190"/>
      <c r="GH5" s="190"/>
      <c r="GI5" s="190"/>
      <c r="GJ5" s="191"/>
      <c r="GK5" s="189">
        <f>GK6</f>
        <v>46111</v>
      </c>
      <c r="GL5" s="190"/>
      <c r="GM5" s="190"/>
      <c r="GN5" s="190"/>
      <c r="GO5" s="190"/>
      <c r="GP5" s="190"/>
      <c r="GQ5" s="191"/>
      <c r="GR5" s="189">
        <f>GR6</f>
        <v>46118</v>
      </c>
      <c r="GS5" s="190"/>
      <c r="GT5" s="190"/>
      <c r="GU5" s="190"/>
      <c r="GV5" s="190"/>
      <c r="GW5" s="190"/>
      <c r="GX5" s="191"/>
      <c r="GY5" s="189">
        <f>GY6</f>
        <v>46125</v>
      </c>
      <c r="GZ5" s="190"/>
      <c r="HA5" s="190"/>
      <c r="HB5" s="190"/>
      <c r="HC5" s="190"/>
      <c r="HD5" s="190"/>
      <c r="HE5" s="191"/>
      <c r="HF5" s="189">
        <f>HF6</f>
        <v>46132</v>
      </c>
      <c r="HG5" s="190"/>
      <c r="HH5" s="190"/>
      <c r="HI5" s="190"/>
      <c r="HJ5" s="190"/>
      <c r="HK5" s="190"/>
      <c r="HL5" s="191"/>
      <c r="HM5" s="189">
        <f>HM6</f>
        <v>46139</v>
      </c>
      <c r="HN5" s="190"/>
      <c r="HO5" s="190"/>
      <c r="HP5" s="190"/>
      <c r="HQ5" s="190"/>
      <c r="HR5" s="190"/>
      <c r="HS5" s="191"/>
      <c r="HT5" s="189">
        <f>HT6</f>
        <v>46146</v>
      </c>
      <c r="HU5" s="190"/>
      <c r="HV5" s="190"/>
      <c r="HW5" s="190"/>
      <c r="HX5" s="190"/>
      <c r="HY5" s="190"/>
      <c r="HZ5" s="191"/>
      <c r="IA5" s="189">
        <f>IA6</f>
        <v>46153</v>
      </c>
      <c r="IB5" s="190"/>
      <c r="IC5" s="190"/>
      <c r="ID5" s="190"/>
      <c r="IE5" s="190"/>
      <c r="IF5" s="190"/>
      <c r="IG5" s="191"/>
      <c r="IH5" s="189">
        <f>IH6</f>
        <v>46160</v>
      </c>
      <c r="II5" s="190"/>
      <c r="IJ5" s="190"/>
      <c r="IK5" s="190"/>
      <c r="IL5" s="190"/>
      <c r="IM5" s="190"/>
      <c r="IN5" s="191"/>
      <c r="IO5" s="189">
        <f>IO6</f>
        <v>46167</v>
      </c>
      <c r="IP5" s="190"/>
      <c r="IQ5" s="190"/>
      <c r="IR5" s="190"/>
      <c r="IS5" s="190"/>
      <c r="IT5" s="190"/>
      <c r="IU5" s="191"/>
      <c r="IV5" s="189">
        <f>IV6</f>
        <v>46174</v>
      </c>
      <c r="IW5" s="190"/>
      <c r="IX5" s="190"/>
      <c r="IY5" s="190"/>
      <c r="IZ5" s="190"/>
      <c r="JA5" s="190"/>
      <c r="JB5" s="191"/>
    </row>
    <row r="6" spans="1:262" ht="12.5" hidden="1" customHeight="1" x14ac:dyDescent="0.25">
      <c r="A6" s="30"/>
      <c r="B6" s="30"/>
      <c r="C6" s="30"/>
      <c r="D6" s="30"/>
      <c r="E6" s="30"/>
      <c r="F6" s="30"/>
      <c r="G6" s="30"/>
      <c r="H6" s="30"/>
      <c r="I6" s="30"/>
      <c r="J6" s="30"/>
      <c r="K6" s="88">
        <f>C4-WEEKDAY(C4,1)+2+7*(H4-1)</f>
        <v>45929</v>
      </c>
      <c r="L6" s="89">
        <f t="shared" ref="L6:AQ6" si="0">K6+1</f>
        <v>45930</v>
      </c>
      <c r="M6" s="89">
        <f t="shared" si="0"/>
        <v>45931</v>
      </c>
      <c r="N6" s="89">
        <f t="shared" si="0"/>
        <v>45932</v>
      </c>
      <c r="O6" s="89">
        <f t="shared" si="0"/>
        <v>45933</v>
      </c>
      <c r="P6" s="89">
        <f t="shared" si="0"/>
        <v>45934</v>
      </c>
      <c r="Q6" s="90">
        <f t="shared" si="0"/>
        <v>45935</v>
      </c>
      <c r="R6" s="88">
        <f t="shared" si="0"/>
        <v>45936</v>
      </c>
      <c r="S6" s="89">
        <f t="shared" si="0"/>
        <v>45937</v>
      </c>
      <c r="T6" s="89">
        <f t="shared" si="0"/>
        <v>45938</v>
      </c>
      <c r="U6" s="89">
        <f t="shared" si="0"/>
        <v>45939</v>
      </c>
      <c r="V6" s="89">
        <f t="shared" si="0"/>
        <v>45940</v>
      </c>
      <c r="W6" s="89">
        <f t="shared" si="0"/>
        <v>45941</v>
      </c>
      <c r="X6" s="90">
        <f t="shared" si="0"/>
        <v>45942</v>
      </c>
      <c r="Y6" s="88">
        <f t="shared" si="0"/>
        <v>45943</v>
      </c>
      <c r="Z6" s="89">
        <f t="shared" si="0"/>
        <v>45944</v>
      </c>
      <c r="AA6" s="89">
        <f t="shared" si="0"/>
        <v>45945</v>
      </c>
      <c r="AB6" s="89">
        <f t="shared" si="0"/>
        <v>45946</v>
      </c>
      <c r="AC6" s="89">
        <f t="shared" si="0"/>
        <v>45947</v>
      </c>
      <c r="AD6" s="89">
        <f t="shared" si="0"/>
        <v>45948</v>
      </c>
      <c r="AE6" s="90">
        <f t="shared" si="0"/>
        <v>45949</v>
      </c>
      <c r="AF6" s="88">
        <f t="shared" si="0"/>
        <v>45950</v>
      </c>
      <c r="AG6" s="89">
        <f t="shared" si="0"/>
        <v>45951</v>
      </c>
      <c r="AH6" s="89">
        <f t="shared" si="0"/>
        <v>45952</v>
      </c>
      <c r="AI6" s="89">
        <f t="shared" si="0"/>
        <v>45953</v>
      </c>
      <c r="AJ6" s="89">
        <f t="shared" si="0"/>
        <v>45954</v>
      </c>
      <c r="AK6" s="89">
        <f t="shared" si="0"/>
        <v>45955</v>
      </c>
      <c r="AL6" s="90">
        <f t="shared" si="0"/>
        <v>45956</v>
      </c>
      <c r="AM6" s="88">
        <f t="shared" si="0"/>
        <v>45957</v>
      </c>
      <c r="AN6" s="89">
        <f t="shared" si="0"/>
        <v>45958</v>
      </c>
      <c r="AO6" s="89">
        <f t="shared" si="0"/>
        <v>45959</v>
      </c>
      <c r="AP6" s="89">
        <f t="shared" si="0"/>
        <v>45960</v>
      </c>
      <c r="AQ6" s="89">
        <f t="shared" si="0"/>
        <v>45961</v>
      </c>
      <c r="AR6" s="89">
        <f t="shared" ref="AR6:BN6" si="1">AQ6+1</f>
        <v>45962</v>
      </c>
      <c r="AS6" s="90">
        <f t="shared" si="1"/>
        <v>45963</v>
      </c>
      <c r="AT6" s="88">
        <f t="shared" si="1"/>
        <v>45964</v>
      </c>
      <c r="AU6" s="89">
        <f t="shared" si="1"/>
        <v>45965</v>
      </c>
      <c r="AV6" s="89">
        <f t="shared" si="1"/>
        <v>45966</v>
      </c>
      <c r="AW6" s="89">
        <f t="shared" si="1"/>
        <v>45967</v>
      </c>
      <c r="AX6" s="89">
        <f t="shared" si="1"/>
        <v>45968</v>
      </c>
      <c r="AY6" s="89">
        <f t="shared" si="1"/>
        <v>45969</v>
      </c>
      <c r="AZ6" s="90">
        <f t="shared" si="1"/>
        <v>45970</v>
      </c>
      <c r="BA6" s="88">
        <f t="shared" si="1"/>
        <v>45971</v>
      </c>
      <c r="BB6" s="89">
        <f t="shared" si="1"/>
        <v>45972</v>
      </c>
      <c r="BC6" s="89">
        <f t="shared" si="1"/>
        <v>45973</v>
      </c>
      <c r="BD6" s="89">
        <f t="shared" si="1"/>
        <v>45974</v>
      </c>
      <c r="BE6" s="89">
        <f t="shared" si="1"/>
        <v>45975</v>
      </c>
      <c r="BF6" s="89">
        <f t="shared" si="1"/>
        <v>45976</v>
      </c>
      <c r="BG6" s="90">
        <f t="shared" si="1"/>
        <v>45977</v>
      </c>
      <c r="BH6" s="88">
        <f t="shared" si="1"/>
        <v>45978</v>
      </c>
      <c r="BI6" s="89">
        <f t="shared" si="1"/>
        <v>45979</v>
      </c>
      <c r="BJ6" s="89">
        <f t="shared" si="1"/>
        <v>45980</v>
      </c>
      <c r="BK6" s="89">
        <f t="shared" si="1"/>
        <v>45981</v>
      </c>
      <c r="BL6" s="89">
        <f t="shared" si="1"/>
        <v>45982</v>
      </c>
      <c r="BM6" s="89">
        <f t="shared" si="1"/>
        <v>45983</v>
      </c>
      <c r="BN6" s="90">
        <f t="shared" si="1"/>
        <v>45984</v>
      </c>
      <c r="BO6" s="89">
        <f t="shared" ref="BO6" si="2">BN6+1</f>
        <v>45985</v>
      </c>
      <c r="BP6" s="89">
        <f t="shared" ref="BP6" si="3">BO6+1</f>
        <v>45986</v>
      </c>
      <c r="BQ6" s="89">
        <f t="shared" ref="BQ6" si="4">BP6+1</f>
        <v>45987</v>
      </c>
      <c r="BR6" s="89">
        <f t="shared" ref="BR6" si="5">BQ6+1</f>
        <v>45988</v>
      </c>
      <c r="BS6" s="89">
        <f t="shared" ref="BS6" si="6">BR6+1</f>
        <v>45989</v>
      </c>
      <c r="BT6" s="89">
        <f t="shared" ref="BT6" si="7">BS6+1</f>
        <v>45990</v>
      </c>
      <c r="BU6" s="90">
        <f t="shared" ref="BU6" si="8">BT6+1</f>
        <v>45991</v>
      </c>
      <c r="BV6" s="88">
        <f t="shared" ref="BV6" si="9">BU6+1</f>
        <v>45992</v>
      </c>
      <c r="BW6" s="89">
        <f t="shared" ref="BW6" si="10">BV6+1</f>
        <v>45993</v>
      </c>
      <c r="BX6" s="89">
        <f t="shared" ref="BX6" si="11">BW6+1</f>
        <v>45994</v>
      </c>
      <c r="BY6" s="89">
        <f t="shared" ref="BY6" si="12">BX6+1</f>
        <v>45995</v>
      </c>
      <c r="BZ6" s="89">
        <f t="shared" ref="BZ6" si="13">BY6+1</f>
        <v>45996</v>
      </c>
      <c r="CA6" s="89">
        <f t="shared" ref="CA6" si="14">BZ6+1</f>
        <v>45997</v>
      </c>
      <c r="CB6" s="90">
        <f t="shared" ref="CB6" si="15">CA6+1</f>
        <v>45998</v>
      </c>
      <c r="CC6" s="88">
        <f t="shared" ref="CC6" si="16">CB6+1</f>
        <v>45999</v>
      </c>
      <c r="CD6" s="89">
        <f t="shared" ref="CD6" si="17">CC6+1</f>
        <v>46000</v>
      </c>
      <c r="CE6" s="89">
        <f t="shared" ref="CE6" si="18">CD6+1</f>
        <v>46001</v>
      </c>
      <c r="CF6" s="89">
        <f t="shared" ref="CF6" si="19">CE6+1</f>
        <v>46002</v>
      </c>
      <c r="CG6" s="89">
        <f t="shared" ref="CG6" si="20">CF6+1</f>
        <v>46003</v>
      </c>
      <c r="CH6" s="89">
        <f t="shared" ref="CH6" si="21">CG6+1</f>
        <v>46004</v>
      </c>
      <c r="CI6" s="90">
        <f t="shared" ref="CI6" si="22">CH6+1</f>
        <v>46005</v>
      </c>
      <c r="CJ6" s="88">
        <f t="shared" ref="CJ6" si="23">CI6+1</f>
        <v>46006</v>
      </c>
      <c r="CK6" s="89">
        <f t="shared" ref="CK6" si="24">CJ6+1</f>
        <v>46007</v>
      </c>
      <c r="CL6" s="89">
        <f t="shared" ref="CL6" si="25">CK6+1</f>
        <v>46008</v>
      </c>
      <c r="CM6" s="89">
        <f t="shared" ref="CM6" si="26">CL6+1</f>
        <v>46009</v>
      </c>
      <c r="CN6" s="89">
        <f t="shared" ref="CN6" si="27">CM6+1</f>
        <v>46010</v>
      </c>
      <c r="CO6" s="89">
        <f t="shared" ref="CO6" si="28">CN6+1</f>
        <v>46011</v>
      </c>
      <c r="CP6" s="90">
        <f t="shared" ref="CP6" si="29">CO6+1</f>
        <v>46012</v>
      </c>
      <c r="CQ6" s="88">
        <f t="shared" ref="CQ6" si="30">CP6+1</f>
        <v>46013</v>
      </c>
      <c r="CR6" s="89">
        <f t="shared" ref="CR6" si="31">CQ6+1</f>
        <v>46014</v>
      </c>
      <c r="CS6" s="89">
        <f t="shared" ref="CS6" si="32">CR6+1</f>
        <v>46015</v>
      </c>
      <c r="CT6" s="89">
        <f t="shared" ref="CT6" si="33">CS6+1</f>
        <v>46016</v>
      </c>
      <c r="CU6" s="89">
        <f t="shared" ref="CU6" si="34">CT6+1</f>
        <v>46017</v>
      </c>
      <c r="CV6" s="89">
        <f t="shared" ref="CV6" si="35">CU6+1</f>
        <v>46018</v>
      </c>
      <c r="CW6" s="90">
        <f t="shared" ref="CW6" si="36">CV6+1</f>
        <v>46019</v>
      </c>
      <c r="CX6" s="88">
        <f t="shared" ref="CX6" si="37">CW6+1</f>
        <v>46020</v>
      </c>
      <c r="CY6" s="89">
        <f t="shared" ref="CY6" si="38">CX6+1</f>
        <v>46021</v>
      </c>
      <c r="CZ6" s="89">
        <f t="shared" ref="CZ6" si="39">CY6+1</f>
        <v>46022</v>
      </c>
      <c r="DA6" s="89">
        <f t="shared" ref="DA6" si="40">CZ6+1</f>
        <v>46023</v>
      </c>
      <c r="DB6" s="89">
        <f t="shared" ref="DB6" si="41">DA6+1</f>
        <v>46024</v>
      </c>
      <c r="DC6" s="89">
        <f t="shared" ref="DC6" si="42">DB6+1</f>
        <v>46025</v>
      </c>
      <c r="DD6" s="90">
        <f t="shared" ref="DD6" si="43">DC6+1</f>
        <v>46026</v>
      </c>
      <c r="DE6" s="88">
        <f t="shared" ref="DE6" si="44">DD6+1</f>
        <v>46027</v>
      </c>
      <c r="DF6" s="89">
        <f t="shared" ref="DF6" si="45">DE6+1</f>
        <v>46028</v>
      </c>
      <c r="DG6" s="89">
        <f t="shared" ref="DG6" si="46">DF6+1</f>
        <v>46029</v>
      </c>
      <c r="DH6" s="89">
        <f t="shared" ref="DH6" si="47">DG6+1</f>
        <v>46030</v>
      </c>
      <c r="DI6" s="89">
        <f t="shared" ref="DI6" si="48">DH6+1</f>
        <v>46031</v>
      </c>
      <c r="DJ6" s="89">
        <f t="shared" ref="DJ6" si="49">DI6+1</f>
        <v>46032</v>
      </c>
      <c r="DK6" s="90">
        <f t="shared" ref="DK6" si="50">DJ6+1</f>
        <v>46033</v>
      </c>
      <c r="DL6" s="88">
        <f t="shared" ref="DL6" si="51">DK6+1</f>
        <v>46034</v>
      </c>
      <c r="DM6" s="89">
        <f t="shared" ref="DM6" si="52">DL6+1</f>
        <v>46035</v>
      </c>
      <c r="DN6" s="89">
        <f t="shared" ref="DN6" si="53">DM6+1</f>
        <v>46036</v>
      </c>
      <c r="DO6" s="89">
        <f t="shared" ref="DO6" si="54">DN6+1</f>
        <v>46037</v>
      </c>
      <c r="DP6" s="89">
        <f t="shared" ref="DP6" si="55">DO6+1</f>
        <v>46038</v>
      </c>
      <c r="DQ6" s="89">
        <f t="shared" ref="DQ6" si="56">DP6+1</f>
        <v>46039</v>
      </c>
      <c r="DR6" s="90">
        <f t="shared" ref="DR6" si="57">DQ6+1</f>
        <v>46040</v>
      </c>
      <c r="DS6" s="88">
        <f t="shared" ref="DS6" si="58">DR6+1</f>
        <v>46041</v>
      </c>
      <c r="DT6" s="89">
        <f t="shared" ref="DT6" si="59">DS6+1</f>
        <v>46042</v>
      </c>
      <c r="DU6" s="89">
        <f t="shared" ref="DU6" si="60">DT6+1</f>
        <v>46043</v>
      </c>
      <c r="DV6" s="89">
        <f t="shared" ref="DV6" si="61">DU6+1</f>
        <v>46044</v>
      </c>
      <c r="DW6" s="89">
        <f t="shared" ref="DW6" si="62">DV6+1</f>
        <v>46045</v>
      </c>
      <c r="DX6" s="89">
        <f t="shared" ref="DX6" si="63">DW6+1</f>
        <v>46046</v>
      </c>
      <c r="DY6" s="90">
        <f t="shared" ref="DY6" si="64">DX6+1</f>
        <v>46047</v>
      </c>
      <c r="DZ6" s="88">
        <f t="shared" ref="DZ6" si="65">DY6+1</f>
        <v>46048</v>
      </c>
      <c r="EA6" s="89">
        <f t="shared" ref="EA6" si="66">DZ6+1</f>
        <v>46049</v>
      </c>
      <c r="EB6" s="89">
        <f t="shared" ref="EB6" si="67">EA6+1</f>
        <v>46050</v>
      </c>
      <c r="EC6" s="89">
        <f t="shared" ref="EC6" si="68">EB6+1</f>
        <v>46051</v>
      </c>
      <c r="ED6" s="89">
        <f t="shared" ref="ED6" si="69">EC6+1</f>
        <v>46052</v>
      </c>
      <c r="EE6" s="89">
        <f t="shared" ref="EE6" si="70">ED6+1</f>
        <v>46053</v>
      </c>
      <c r="EF6" s="90">
        <f t="shared" ref="EF6" si="71">EE6+1</f>
        <v>46054</v>
      </c>
      <c r="EG6" s="88">
        <f t="shared" ref="EG6" si="72">EF6+1</f>
        <v>46055</v>
      </c>
      <c r="EH6" s="89">
        <f t="shared" ref="EH6" si="73">EG6+1</f>
        <v>46056</v>
      </c>
      <c r="EI6" s="89">
        <f t="shared" ref="EI6" si="74">EH6+1</f>
        <v>46057</v>
      </c>
      <c r="EJ6" s="89">
        <f t="shared" ref="EJ6" si="75">EI6+1</f>
        <v>46058</v>
      </c>
      <c r="EK6" s="89">
        <f t="shared" ref="EK6" si="76">EJ6+1</f>
        <v>46059</v>
      </c>
      <c r="EL6" s="89">
        <f t="shared" ref="EL6" si="77">EK6+1</f>
        <v>46060</v>
      </c>
      <c r="EM6" s="90">
        <f t="shared" ref="EM6" si="78">EL6+1</f>
        <v>46061</v>
      </c>
      <c r="EN6" s="88">
        <f t="shared" ref="EN6" si="79">EM6+1</f>
        <v>46062</v>
      </c>
      <c r="EO6" s="89">
        <f t="shared" ref="EO6" si="80">EN6+1</f>
        <v>46063</v>
      </c>
      <c r="EP6" s="89">
        <f t="shared" ref="EP6" si="81">EO6+1</f>
        <v>46064</v>
      </c>
      <c r="EQ6" s="89">
        <f t="shared" ref="EQ6" si="82">EP6+1</f>
        <v>46065</v>
      </c>
      <c r="ER6" s="89">
        <f t="shared" ref="ER6" si="83">EQ6+1</f>
        <v>46066</v>
      </c>
      <c r="ES6" s="89">
        <f t="shared" ref="ES6" si="84">ER6+1</f>
        <v>46067</v>
      </c>
      <c r="ET6" s="90">
        <f t="shared" ref="ET6" si="85">ES6+1</f>
        <v>46068</v>
      </c>
      <c r="EU6" s="88">
        <f t="shared" ref="EU6" si="86">ET6+1</f>
        <v>46069</v>
      </c>
      <c r="EV6" s="89">
        <f t="shared" ref="EV6" si="87">EU6+1</f>
        <v>46070</v>
      </c>
      <c r="EW6" s="89">
        <f t="shared" ref="EW6" si="88">EV6+1</f>
        <v>46071</v>
      </c>
      <c r="EX6" s="89">
        <f t="shared" ref="EX6" si="89">EW6+1</f>
        <v>46072</v>
      </c>
      <c r="EY6" s="89">
        <f t="shared" ref="EY6" si="90">EX6+1</f>
        <v>46073</v>
      </c>
      <c r="EZ6" s="89">
        <f t="shared" ref="EZ6" si="91">EY6+1</f>
        <v>46074</v>
      </c>
      <c r="FA6" s="90">
        <f t="shared" ref="FA6" si="92">EZ6+1</f>
        <v>46075</v>
      </c>
      <c r="FB6" s="88">
        <f t="shared" ref="FB6" si="93">FA6+1</f>
        <v>46076</v>
      </c>
      <c r="FC6" s="89">
        <f t="shared" ref="FC6" si="94">FB6+1</f>
        <v>46077</v>
      </c>
      <c r="FD6" s="89">
        <f t="shared" ref="FD6" si="95">FC6+1</f>
        <v>46078</v>
      </c>
      <c r="FE6" s="89">
        <f t="shared" ref="FE6" si="96">FD6+1</f>
        <v>46079</v>
      </c>
      <c r="FF6" s="89">
        <f t="shared" ref="FF6" si="97">FE6+1</f>
        <v>46080</v>
      </c>
      <c r="FG6" s="89">
        <f t="shared" ref="FG6" si="98">FF6+1</f>
        <v>46081</v>
      </c>
      <c r="FH6" s="90">
        <f t="shared" ref="FH6" si="99">FG6+1</f>
        <v>46082</v>
      </c>
      <c r="FI6" s="88">
        <f t="shared" ref="FI6" si="100">FH6+1</f>
        <v>46083</v>
      </c>
      <c r="FJ6" s="89">
        <f t="shared" ref="FJ6" si="101">FI6+1</f>
        <v>46084</v>
      </c>
      <c r="FK6" s="89">
        <f t="shared" ref="FK6" si="102">FJ6+1</f>
        <v>46085</v>
      </c>
      <c r="FL6" s="89">
        <f t="shared" ref="FL6" si="103">FK6+1</f>
        <v>46086</v>
      </c>
      <c r="FM6" s="89">
        <f t="shared" ref="FM6" si="104">FL6+1</f>
        <v>46087</v>
      </c>
      <c r="FN6" s="89">
        <f t="shared" ref="FN6" si="105">FM6+1</f>
        <v>46088</v>
      </c>
      <c r="FO6" s="90">
        <f t="shared" ref="FO6" si="106">FN6+1</f>
        <v>46089</v>
      </c>
      <c r="FP6" s="88">
        <f t="shared" ref="FP6" si="107">FO6+1</f>
        <v>46090</v>
      </c>
      <c r="FQ6" s="89">
        <f t="shared" ref="FQ6" si="108">FP6+1</f>
        <v>46091</v>
      </c>
      <c r="FR6" s="89">
        <f t="shared" ref="FR6" si="109">FQ6+1</f>
        <v>46092</v>
      </c>
      <c r="FS6" s="89">
        <f t="shared" ref="FS6" si="110">FR6+1</f>
        <v>46093</v>
      </c>
      <c r="FT6" s="89">
        <f t="shared" ref="FT6" si="111">FS6+1</f>
        <v>46094</v>
      </c>
      <c r="FU6" s="89">
        <f t="shared" ref="FU6" si="112">FT6+1</f>
        <v>46095</v>
      </c>
      <c r="FV6" s="90">
        <f t="shared" ref="FV6" si="113">FU6+1</f>
        <v>46096</v>
      </c>
      <c r="FW6" s="88">
        <f t="shared" ref="FW6" si="114">FV6+1</f>
        <v>46097</v>
      </c>
      <c r="FX6" s="89">
        <f t="shared" ref="FX6" si="115">FW6+1</f>
        <v>46098</v>
      </c>
      <c r="FY6" s="89">
        <f t="shared" ref="FY6" si="116">FX6+1</f>
        <v>46099</v>
      </c>
      <c r="FZ6" s="89">
        <f t="shared" ref="FZ6" si="117">FY6+1</f>
        <v>46100</v>
      </c>
      <c r="GA6" s="89">
        <f t="shared" ref="GA6" si="118">FZ6+1</f>
        <v>46101</v>
      </c>
      <c r="GB6" s="89">
        <f t="shared" ref="GB6" si="119">GA6+1</f>
        <v>46102</v>
      </c>
      <c r="GC6" s="90">
        <f t="shared" ref="GC6" si="120">GB6+1</f>
        <v>46103</v>
      </c>
      <c r="GD6" s="88">
        <f t="shared" ref="GD6" si="121">GC6+1</f>
        <v>46104</v>
      </c>
      <c r="GE6" s="89">
        <f t="shared" ref="GE6" si="122">GD6+1</f>
        <v>46105</v>
      </c>
      <c r="GF6" s="89">
        <f t="shared" ref="GF6" si="123">GE6+1</f>
        <v>46106</v>
      </c>
      <c r="GG6" s="89">
        <f t="shared" ref="GG6" si="124">GF6+1</f>
        <v>46107</v>
      </c>
      <c r="GH6" s="89">
        <f t="shared" ref="GH6" si="125">GG6+1</f>
        <v>46108</v>
      </c>
      <c r="GI6" s="89">
        <f t="shared" ref="GI6" si="126">GH6+1</f>
        <v>46109</v>
      </c>
      <c r="GJ6" s="90">
        <f t="shared" ref="GJ6" si="127">GI6+1</f>
        <v>46110</v>
      </c>
      <c r="GK6" s="88">
        <f t="shared" ref="GK6" si="128">GJ6+1</f>
        <v>46111</v>
      </c>
      <c r="GL6" s="89">
        <f t="shared" ref="GL6" si="129">GK6+1</f>
        <v>46112</v>
      </c>
      <c r="GM6" s="89">
        <f t="shared" ref="GM6" si="130">GL6+1</f>
        <v>46113</v>
      </c>
      <c r="GN6" s="89">
        <f t="shared" ref="GN6" si="131">GM6+1</f>
        <v>46114</v>
      </c>
      <c r="GO6" s="89">
        <f t="shared" ref="GO6" si="132">GN6+1</f>
        <v>46115</v>
      </c>
      <c r="GP6" s="89">
        <f t="shared" ref="GP6" si="133">GO6+1</f>
        <v>46116</v>
      </c>
      <c r="GQ6" s="90">
        <f t="shared" ref="GQ6" si="134">GP6+1</f>
        <v>46117</v>
      </c>
      <c r="GR6" s="88">
        <f t="shared" ref="GR6" si="135">GQ6+1</f>
        <v>46118</v>
      </c>
      <c r="GS6" s="89">
        <f t="shared" ref="GS6" si="136">GR6+1</f>
        <v>46119</v>
      </c>
      <c r="GT6" s="89">
        <f t="shared" ref="GT6" si="137">GS6+1</f>
        <v>46120</v>
      </c>
      <c r="GU6" s="89">
        <f t="shared" ref="GU6" si="138">GT6+1</f>
        <v>46121</v>
      </c>
      <c r="GV6" s="89">
        <f t="shared" ref="GV6" si="139">GU6+1</f>
        <v>46122</v>
      </c>
      <c r="GW6" s="89">
        <f t="shared" ref="GW6" si="140">GV6+1</f>
        <v>46123</v>
      </c>
      <c r="GX6" s="90">
        <f t="shared" ref="GX6" si="141">GW6+1</f>
        <v>46124</v>
      </c>
      <c r="GY6" s="88">
        <f t="shared" ref="GY6" si="142">GX6+1</f>
        <v>46125</v>
      </c>
      <c r="GZ6" s="89">
        <f t="shared" ref="GZ6" si="143">GY6+1</f>
        <v>46126</v>
      </c>
      <c r="HA6" s="89">
        <f t="shared" ref="HA6" si="144">GZ6+1</f>
        <v>46127</v>
      </c>
      <c r="HB6" s="89">
        <f t="shared" ref="HB6" si="145">HA6+1</f>
        <v>46128</v>
      </c>
      <c r="HC6" s="89">
        <f t="shared" ref="HC6" si="146">HB6+1</f>
        <v>46129</v>
      </c>
      <c r="HD6" s="89">
        <f t="shared" ref="HD6" si="147">HC6+1</f>
        <v>46130</v>
      </c>
      <c r="HE6" s="90">
        <f t="shared" ref="HE6" si="148">HD6+1</f>
        <v>46131</v>
      </c>
      <c r="HF6" s="88">
        <f t="shared" ref="HF6" si="149">HE6+1</f>
        <v>46132</v>
      </c>
      <c r="HG6" s="89">
        <f t="shared" ref="HG6" si="150">HF6+1</f>
        <v>46133</v>
      </c>
      <c r="HH6" s="89">
        <f t="shared" ref="HH6" si="151">HG6+1</f>
        <v>46134</v>
      </c>
      <c r="HI6" s="89">
        <f t="shared" ref="HI6" si="152">HH6+1</f>
        <v>46135</v>
      </c>
      <c r="HJ6" s="89">
        <f t="shared" ref="HJ6" si="153">HI6+1</f>
        <v>46136</v>
      </c>
      <c r="HK6" s="89">
        <f t="shared" ref="HK6" si="154">HJ6+1</f>
        <v>46137</v>
      </c>
      <c r="HL6" s="90">
        <f t="shared" ref="HL6" si="155">HK6+1</f>
        <v>46138</v>
      </c>
      <c r="HM6" s="88">
        <f t="shared" ref="HM6" si="156">HL6+1</f>
        <v>46139</v>
      </c>
      <c r="HN6" s="89">
        <f t="shared" ref="HN6" si="157">HM6+1</f>
        <v>46140</v>
      </c>
      <c r="HO6" s="89">
        <f t="shared" ref="HO6" si="158">HN6+1</f>
        <v>46141</v>
      </c>
      <c r="HP6" s="89">
        <f t="shared" ref="HP6" si="159">HO6+1</f>
        <v>46142</v>
      </c>
      <c r="HQ6" s="89">
        <f t="shared" ref="HQ6" si="160">HP6+1</f>
        <v>46143</v>
      </c>
      <c r="HR6" s="89">
        <f t="shared" ref="HR6" si="161">HQ6+1</f>
        <v>46144</v>
      </c>
      <c r="HS6" s="90">
        <f t="shared" ref="HS6" si="162">HR6+1</f>
        <v>46145</v>
      </c>
      <c r="HT6" s="88">
        <f t="shared" ref="HT6" si="163">HS6+1</f>
        <v>46146</v>
      </c>
      <c r="HU6" s="89">
        <f t="shared" ref="HU6" si="164">HT6+1</f>
        <v>46147</v>
      </c>
      <c r="HV6" s="89">
        <f t="shared" ref="HV6" si="165">HU6+1</f>
        <v>46148</v>
      </c>
      <c r="HW6" s="89">
        <f t="shared" ref="HW6" si="166">HV6+1</f>
        <v>46149</v>
      </c>
      <c r="HX6" s="89">
        <f t="shared" ref="HX6" si="167">HW6+1</f>
        <v>46150</v>
      </c>
      <c r="HY6" s="89">
        <f t="shared" ref="HY6" si="168">HX6+1</f>
        <v>46151</v>
      </c>
      <c r="HZ6" s="90">
        <f t="shared" ref="HZ6" si="169">HY6+1</f>
        <v>46152</v>
      </c>
      <c r="IA6" s="88">
        <f t="shared" ref="IA6" si="170">HZ6+1</f>
        <v>46153</v>
      </c>
      <c r="IB6" s="89">
        <f t="shared" ref="IB6" si="171">IA6+1</f>
        <v>46154</v>
      </c>
      <c r="IC6" s="89">
        <f t="shared" ref="IC6" si="172">IB6+1</f>
        <v>46155</v>
      </c>
      <c r="ID6" s="89">
        <f t="shared" ref="ID6" si="173">IC6+1</f>
        <v>46156</v>
      </c>
      <c r="IE6" s="89">
        <f t="shared" ref="IE6" si="174">ID6+1</f>
        <v>46157</v>
      </c>
      <c r="IF6" s="89">
        <f t="shared" ref="IF6" si="175">IE6+1</f>
        <v>46158</v>
      </c>
      <c r="IG6" s="90">
        <f t="shared" ref="IG6" si="176">IF6+1</f>
        <v>46159</v>
      </c>
      <c r="IH6" s="88">
        <f t="shared" ref="IH6" si="177">IG6+1</f>
        <v>46160</v>
      </c>
      <c r="II6" s="89">
        <f t="shared" ref="II6" si="178">IH6+1</f>
        <v>46161</v>
      </c>
      <c r="IJ6" s="89">
        <f t="shared" ref="IJ6" si="179">II6+1</f>
        <v>46162</v>
      </c>
      <c r="IK6" s="89">
        <f t="shared" ref="IK6" si="180">IJ6+1</f>
        <v>46163</v>
      </c>
      <c r="IL6" s="89">
        <f t="shared" ref="IL6" si="181">IK6+1</f>
        <v>46164</v>
      </c>
      <c r="IM6" s="89">
        <f t="shared" ref="IM6" si="182">IL6+1</f>
        <v>46165</v>
      </c>
      <c r="IN6" s="90">
        <f t="shared" ref="IN6" si="183">IM6+1</f>
        <v>46166</v>
      </c>
      <c r="IO6" s="88">
        <f t="shared" ref="IO6" si="184">IN6+1</f>
        <v>46167</v>
      </c>
      <c r="IP6" s="89">
        <f t="shared" ref="IP6" si="185">IO6+1</f>
        <v>46168</v>
      </c>
      <c r="IQ6" s="89">
        <f t="shared" ref="IQ6" si="186">IP6+1</f>
        <v>46169</v>
      </c>
      <c r="IR6" s="89">
        <f t="shared" ref="IR6" si="187">IQ6+1</f>
        <v>46170</v>
      </c>
      <c r="IS6" s="89">
        <f t="shared" ref="IS6" si="188">IR6+1</f>
        <v>46171</v>
      </c>
      <c r="IT6" s="89">
        <f t="shared" ref="IT6" si="189">IS6+1</f>
        <v>46172</v>
      </c>
      <c r="IU6" s="90">
        <f t="shared" ref="IU6" si="190">IT6+1</f>
        <v>46173</v>
      </c>
      <c r="IV6" s="88">
        <f t="shared" ref="IV6" si="191">IU6+1</f>
        <v>46174</v>
      </c>
      <c r="IW6" s="89">
        <f t="shared" ref="IW6" si="192">IV6+1</f>
        <v>46175</v>
      </c>
      <c r="IX6" s="89">
        <f t="shared" ref="IX6" si="193">IW6+1</f>
        <v>46176</v>
      </c>
      <c r="IY6" s="89">
        <f t="shared" ref="IY6" si="194">IX6+1</f>
        <v>46177</v>
      </c>
      <c r="IZ6" s="89">
        <f t="shared" ref="IZ6" si="195">IY6+1</f>
        <v>46178</v>
      </c>
      <c r="JA6" s="89">
        <f t="shared" ref="JA6" si="196">IZ6+1</f>
        <v>46179</v>
      </c>
      <c r="JB6" s="90">
        <f t="shared" ref="JB6" si="197">JA6+1</f>
        <v>46180</v>
      </c>
    </row>
    <row r="7" spans="1:262" s="110" customFormat="1" ht="25" customHeight="1" thickBot="1" x14ac:dyDescent="0.3">
      <c r="A7" s="107" t="s">
        <v>0</v>
      </c>
      <c r="B7" s="107" t="s">
        <v>59</v>
      </c>
      <c r="C7" s="108" t="s">
        <v>60</v>
      </c>
      <c r="D7" s="112" t="s">
        <v>66</v>
      </c>
      <c r="E7" s="109" t="s">
        <v>61</v>
      </c>
      <c r="F7" s="109" t="s">
        <v>62</v>
      </c>
      <c r="G7" s="108" t="s">
        <v>63</v>
      </c>
      <c r="H7" s="108" t="s">
        <v>64</v>
      </c>
      <c r="I7" s="108" t="s">
        <v>65</v>
      </c>
      <c r="J7" s="38"/>
      <c r="K7" s="91" t="str">
        <f t="shared" ref="K7:AP7" si="198">CHOOSE(WEEKDAY(K6,1),"S","M","T","W","T","F","S")</f>
        <v>M</v>
      </c>
      <c r="L7" s="87" t="str">
        <f t="shared" si="198"/>
        <v>T</v>
      </c>
      <c r="M7" s="87" t="str">
        <f t="shared" si="198"/>
        <v>W</v>
      </c>
      <c r="N7" s="87" t="str">
        <f t="shared" si="198"/>
        <v>T</v>
      </c>
      <c r="O7" s="87" t="str">
        <f t="shared" si="198"/>
        <v>F</v>
      </c>
      <c r="P7" s="87" t="str">
        <f t="shared" si="198"/>
        <v>S</v>
      </c>
      <c r="Q7" s="92" t="str">
        <f t="shared" si="198"/>
        <v>S</v>
      </c>
      <c r="R7" s="91" t="str">
        <f t="shared" si="198"/>
        <v>M</v>
      </c>
      <c r="S7" s="87" t="str">
        <f t="shared" si="198"/>
        <v>T</v>
      </c>
      <c r="T7" s="87" t="str">
        <f t="shared" si="198"/>
        <v>W</v>
      </c>
      <c r="U7" s="87" t="str">
        <f t="shared" si="198"/>
        <v>T</v>
      </c>
      <c r="V7" s="87" t="str">
        <f t="shared" si="198"/>
        <v>F</v>
      </c>
      <c r="W7" s="87" t="str">
        <f t="shared" si="198"/>
        <v>S</v>
      </c>
      <c r="X7" s="92" t="str">
        <f t="shared" si="198"/>
        <v>S</v>
      </c>
      <c r="Y7" s="91" t="str">
        <f t="shared" si="198"/>
        <v>M</v>
      </c>
      <c r="Z7" s="87" t="str">
        <f t="shared" si="198"/>
        <v>T</v>
      </c>
      <c r="AA7" s="87" t="str">
        <f t="shared" si="198"/>
        <v>W</v>
      </c>
      <c r="AB7" s="87" t="str">
        <f t="shared" si="198"/>
        <v>T</v>
      </c>
      <c r="AC7" s="87" t="str">
        <f t="shared" si="198"/>
        <v>F</v>
      </c>
      <c r="AD7" s="87" t="str">
        <f t="shared" si="198"/>
        <v>S</v>
      </c>
      <c r="AE7" s="92" t="str">
        <f t="shared" si="198"/>
        <v>S</v>
      </c>
      <c r="AF7" s="91" t="str">
        <f t="shared" si="198"/>
        <v>M</v>
      </c>
      <c r="AG7" s="87" t="str">
        <f t="shared" si="198"/>
        <v>T</v>
      </c>
      <c r="AH7" s="87" t="str">
        <f t="shared" si="198"/>
        <v>W</v>
      </c>
      <c r="AI7" s="87" t="str">
        <f t="shared" si="198"/>
        <v>T</v>
      </c>
      <c r="AJ7" s="87" t="str">
        <f t="shared" si="198"/>
        <v>F</v>
      </c>
      <c r="AK7" s="87" t="str">
        <f t="shared" si="198"/>
        <v>S</v>
      </c>
      <c r="AL7" s="92" t="str">
        <f t="shared" si="198"/>
        <v>S</v>
      </c>
      <c r="AM7" s="91" t="str">
        <f t="shared" si="198"/>
        <v>M</v>
      </c>
      <c r="AN7" s="87" t="str">
        <f t="shared" si="198"/>
        <v>T</v>
      </c>
      <c r="AO7" s="87" t="str">
        <f t="shared" si="198"/>
        <v>W</v>
      </c>
      <c r="AP7" s="87" t="str">
        <f t="shared" si="198"/>
        <v>T</v>
      </c>
      <c r="AQ7" s="87" t="str">
        <f t="shared" ref="AQ7:BN7" si="199">CHOOSE(WEEKDAY(AQ6,1),"S","M","T","W","T","F","S")</f>
        <v>F</v>
      </c>
      <c r="AR7" s="87" t="str">
        <f t="shared" si="199"/>
        <v>S</v>
      </c>
      <c r="AS7" s="92" t="str">
        <f t="shared" si="199"/>
        <v>S</v>
      </c>
      <c r="AT7" s="91" t="str">
        <f t="shared" si="199"/>
        <v>M</v>
      </c>
      <c r="AU7" s="87" t="str">
        <f t="shared" si="199"/>
        <v>T</v>
      </c>
      <c r="AV7" s="87" t="str">
        <f t="shared" si="199"/>
        <v>W</v>
      </c>
      <c r="AW7" s="87" t="str">
        <f t="shared" si="199"/>
        <v>T</v>
      </c>
      <c r="AX7" s="87" t="str">
        <f t="shared" si="199"/>
        <v>F</v>
      </c>
      <c r="AY7" s="87" t="str">
        <f t="shared" si="199"/>
        <v>S</v>
      </c>
      <c r="AZ7" s="92" t="str">
        <f t="shared" si="199"/>
        <v>S</v>
      </c>
      <c r="BA7" s="91" t="str">
        <f t="shared" si="199"/>
        <v>M</v>
      </c>
      <c r="BB7" s="87" t="str">
        <f t="shared" si="199"/>
        <v>T</v>
      </c>
      <c r="BC7" s="87" t="str">
        <f t="shared" si="199"/>
        <v>W</v>
      </c>
      <c r="BD7" s="87" t="str">
        <f t="shared" si="199"/>
        <v>T</v>
      </c>
      <c r="BE7" s="87" t="str">
        <f t="shared" si="199"/>
        <v>F</v>
      </c>
      <c r="BF7" s="87" t="str">
        <f t="shared" si="199"/>
        <v>S</v>
      </c>
      <c r="BG7" s="92" t="str">
        <f t="shared" si="199"/>
        <v>S</v>
      </c>
      <c r="BH7" s="91" t="str">
        <f t="shared" si="199"/>
        <v>M</v>
      </c>
      <c r="BI7" s="87" t="str">
        <f t="shared" si="199"/>
        <v>T</v>
      </c>
      <c r="BJ7" s="87" t="str">
        <f t="shared" si="199"/>
        <v>W</v>
      </c>
      <c r="BK7" s="87" t="str">
        <f t="shared" si="199"/>
        <v>T</v>
      </c>
      <c r="BL7" s="87" t="str">
        <f t="shared" si="199"/>
        <v>F</v>
      </c>
      <c r="BM7" s="87" t="str">
        <f t="shared" si="199"/>
        <v>S</v>
      </c>
      <c r="BN7" s="92" t="str">
        <f t="shared" si="199"/>
        <v>S</v>
      </c>
      <c r="BO7" s="87" t="str">
        <f t="shared" ref="BO7:DD7" si="200">CHOOSE(WEEKDAY(BO6,1),"S","M","T","W","T","F","S")</f>
        <v>M</v>
      </c>
      <c r="BP7" s="87" t="str">
        <f t="shared" si="200"/>
        <v>T</v>
      </c>
      <c r="BQ7" s="87" t="str">
        <f t="shared" si="200"/>
        <v>W</v>
      </c>
      <c r="BR7" s="87" t="str">
        <f t="shared" si="200"/>
        <v>T</v>
      </c>
      <c r="BS7" s="87" t="str">
        <f t="shared" si="200"/>
        <v>F</v>
      </c>
      <c r="BT7" s="87" t="str">
        <f t="shared" si="200"/>
        <v>S</v>
      </c>
      <c r="BU7" s="92" t="str">
        <f t="shared" si="200"/>
        <v>S</v>
      </c>
      <c r="BV7" s="91" t="str">
        <f t="shared" si="200"/>
        <v>M</v>
      </c>
      <c r="BW7" s="87" t="str">
        <f t="shared" si="200"/>
        <v>T</v>
      </c>
      <c r="BX7" s="87" t="str">
        <f t="shared" si="200"/>
        <v>W</v>
      </c>
      <c r="BY7" s="87" t="str">
        <f t="shared" si="200"/>
        <v>T</v>
      </c>
      <c r="BZ7" s="87" t="str">
        <f t="shared" si="200"/>
        <v>F</v>
      </c>
      <c r="CA7" s="87" t="str">
        <f t="shared" si="200"/>
        <v>S</v>
      </c>
      <c r="CB7" s="92" t="str">
        <f t="shared" si="200"/>
        <v>S</v>
      </c>
      <c r="CC7" s="91" t="str">
        <f t="shared" si="200"/>
        <v>M</v>
      </c>
      <c r="CD7" s="87" t="str">
        <f t="shared" si="200"/>
        <v>T</v>
      </c>
      <c r="CE7" s="87" t="str">
        <f t="shared" si="200"/>
        <v>W</v>
      </c>
      <c r="CF7" s="87" t="str">
        <f t="shared" si="200"/>
        <v>T</v>
      </c>
      <c r="CG7" s="87" t="str">
        <f t="shared" si="200"/>
        <v>F</v>
      </c>
      <c r="CH7" s="87" t="str">
        <f t="shared" si="200"/>
        <v>S</v>
      </c>
      <c r="CI7" s="92" t="str">
        <f t="shared" si="200"/>
        <v>S</v>
      </c>
      <c r="CJ7" s="91" t="str">
        <f t="shared" si="200"/>
        <v>M</v>
      </c>
      <c r="CK7" s="87" t="str">
        <f t="shared" si="200"/>
        <v>T</v>
      </c>
      <c r="CL7" s="87" t="str">
        <f t="shared" si="200"/>
        <v>W</v>
      </c>
      <c r="CM7" s="87" t="str">
        <f t="shared" si="200"/>
        <v>T</v>
      </c>
      <c r="CN7" s="87" t="str">
        <f t="shared" si="200"/>
        <v>F</v>
      </c>
      <c r="CO7" s="87" t="str">
        <f t="shared" si="200"/>
        <v>S</v>
      </c>
      <c r="CP7" s="92" t="str">
        <f t="shared" si="200"/>
        <v>S</v>
      </c>
      <c r="CQ7" s="91" t="str">
        <f t="shared" si="200"/>
        <v>M</v>
      </c>
      <c r="CR7" s="87" t="str">
        <f t="shared" si="200"/>
        <v>T</v>
      </c>
      <c r="CS7" s="87" t="str">
        <f t="shared" si="200"/>
        <v>W</v>
      </c>
      <c r="CT7" s="87" t="str">
        <f t="shared" si="200"/>
        <v>T</v>
      </c>
      <c r="CU7" s="87" t="str">
        <f t="shared" si="200"/>
        <v>F</v>
      </c>
      <c r="CV7" s="87" t="str">
        <f t="shared" si="200"/>
        <v>S</v>
      </c>
      <c r="CW7" s="92" t="str">
        <f t="shared" si="200"/>
        <v>S</v>
      </c>
      <c r="CX7" s="91" t="str">
        <f t="shared" si="200"/>
        <v>M</v>
      </c>
      <c r="CY7" s="87" t="str">
        <f t="shared" si="200"/>
        <v>T</v>
      </c>
      <c r="CZ7" s="87" t="str">
        <f t="shared" si="200"/>
        <v>W</v>
      </c>
      <c r="DA7" s="87" t="str">
        <f t="shared" si="200"/>
        <v>T</v>
      </c>
      <c r="DB7" s="87" t="str">
        <f t="shared" si="200"/>
        <v>F</v>
      </c>
      <c r="DC7" s="87" t="str">
        <f t="shared" si="200"/>
        <v>S</v>
      </c>
      <c r="DD7" s="92" t="str">
        <f t="shared" si="200"/>
        <v>S</v>
      </c>
      <c r="DE7" s="91" t="str">
        <f t="shared" ref="DE7:DY7" si="201">CHOOSE(WEEKDAY(DE6,1),"S","M","T","W","T","F","S")</f>
        <v>M</v>
      </c>
      <c r="DF7" s="87" t="str">
        <f t="shared" si="201"/>
        <v>T</v>
      </c>
      <c r="DG7" s="87" t="str">
        <f t="shared" si="201"/>
        <v>W</v>
      </c>
      <c r="DH7" s="87" t="str">
        <f t="shared" si="201"/>
        <v>T</v>
      </c>
      <c r="DI7" s="87" t="str">
        <f t="shared" si="201"/>
        <v>F</v>
      </c>
      <c r="DJ7" s="87" t="str">
        <f t="shared" si="201"/>
        <v>S</v>
      </c>
      <c r="DK7" s="92" t="str">
        <f t="shared" si="201"/>
        <v>S</v>
      </c>
      <c r="DL7" s="91" t="str">
        <f t="shared" si="201"/>
        <v>M</v>
      </c>
      <c r="DM7" s="87" t="str">
        <f t="shared" si="201"/>
        <v>T</v>
      </c>
      <c r="DN7" s="87" t="str">
        <f t="shared" si="201"/>
        <v>W</v>
      </c>
      <c r="DO7" s="87" t="str">
        <f t="shared" si="201"/>
        <v>T</v>
      </c>
      <c r="DP7" s="87" t="str">
        <f t="shared" si="201"/>
        <v>F</v>
      </c>
      <c r="DQ7" s="87" t="str">
        <f t="shared" si="201"/>
        <v>S</v>
      </c>
      <c r="DR7" s="92" t="str">
        <f t="shared" si="201"/>
        <v>S</v>
      </c>
      <c r="DS7" s="91" t="str">
        <f t="shared" si="201"/>
        <v>M</v>
      </c>
      <c r="DT7" s="87" t="str">
        <f t="shared" si="201"/>
        <v>T</v>
      </c>
      <c r="DU7" s="87" t="str">
        <f t="shared" si="201"/>
        <v>W</v>
      </c>
      <c r="DV7" s="87" t="str">
        <f t="shared" si="201"/>
        <v>T</v>
      </c>
      <c r="DW7" s="87" t="str">
        <f t="shared" si="201"/>
        <v>F</v>
      </c>
      <c r="DX7" s="87" t="str">
        <f t="shared" si="201"/>
        <v>S</v>
      </c>
      <c r="DY7" s="92" t="str">
        <f t="shared" si="201"/>
        <v>S</v>
      </c>
      <c r="DZ7" s="91" t="str">
        <f t="shared" ref="DZ7:FV7" si="202">CHOOSE(WEEKDAY(DZ6,1),"S","M","T","W","T","F","S")</f>
        <v>M</v>
      </c>
      <c r="EA7" s="87" t="str">
        <f t="shared" si="202"/>
        <v>T</v>
      </c>
      <c r="EB7" s="87" t="str">
        <f t="shared" si="202"/>
        <v>W</v>
      </c>
      <c r="EC7" s="87" t="str">
        <f t="shared" si="202"/>
        <v>T</v>
      </c>
      <c r="ED7" s="87" t="str">
        <f t="shared" si="202"/>
        <v>F</v>
      </c>
      <c r="EE7" s="87" t="str">
        <f t="shared" si="202"/>
        <v>S</v>
      </c>
      <c r="EF7" s="92" t="str">
        <f t="shared" si="202"/>
        <v>S</v>
      </c>
      <c r="EG7" s="91" t="str">
        <f t="shared" si="202"/>
        <v>M</v>
      </c>
      <c r="EH7" s="87" t="str">
        <f t="shared" si="202"/>
        <v>T</v>
      </c>
      <c r="EI7" s="87" t="str">
        <f t="shared" si="202"/>
        <v>W</v>
      </c>
      <c r="EJ7" s="87" t="str">
        <f t="shared" si="202"/>
        <v>T</v>
      </c>
      <c r="EK7" s="87" t="str">
        <f t="shared" si="202"/>
        <v>F</v>
      </c>
      <c r="EL7" s="87" t="str">
        <f t="shared" si="202"/>
        <v>S</v>
      </c>
      <c r="EM7" s="92" t="str">
        <f t="shared" si="202"/>
        <v>S</v>
      </c>
      <c r="EN7" s="91" t="str">
        <f t="shared" si="202"/>
        <v>M</v>
      </c>
      <c r="EO7" s="87" t="str">
        <f t="shared" si="202"/>
        <v>T</v>
      </c>
      <c r="EP7" s="87" t="str">
        <f t="shared" si="202"/>
        <v>W</v>
      </c>
      <c r="EQ7" s="87" t="str">
        <f t="shared" si="202"/>
        <v>T</v>
      </c>
      <c r="ER7" s="87" t="str">
        <f t="shared" si="202"/>
        <v>F</v>
      </c>
      <c r="ES7" s="87" t="str">
        <f t="shared" si="202"/>
        <v>S</v>
      </c>
      <c r="ET7" s="92" t="str">
        <f t="shared" si="202"/>
        <v>S</v>
      </c>
      <c r="EU7" s="91" t="str">
        <f t="shared" si="202"/>
        <v>M</v>
      </c>
      <c r="EV7" s="87" t="str">
        <f t="shared" si="202"/>
        <v>T</v>
      </c>
      <c r="EW7" s="87" t="str">
        <f t="shared" si="202"/>
        <v>W</v>
      </c>
      <c r="EX7" s="87" t="str">
        <f t="shared" si="202"/>
        <v>T</v>
      </c>
      <c r="EY7" s="87" t="str">
        <f t="shared" si="202"/>
        <v>F</v>
      </c>
      <c r="EZ7" s="87" t="str">
        <f t="shared" si="202"/>
        <v>S</v>
      </c>
      <c r="FA7" s="92" t="str">
        <f t="shared" si="202"/>
        <v>S</v>
      </c>
      <c r="FB7" s="91" t="str">
        <f t="shared" si="202"/>
        <v>M</v>
      </c>
      <c r="FC7" s="87" t="str">
        <f t="shared" si="202"/>
        <v>T</v>
      </c>
      <c r="FD7" s="87" t="str">
        <f t="shared" si="202"/>
        <v>W</v>
      </c>
      <c r="FE7" s="87" t="str">
        <f t="shared" si="202"/>
        <v>T</v>
      </c>
      <c r="FF7" s="87" t="str">
        <f t="shared" si="202"/>
        <v>F</v>
      </c>
      <c r="FG7" s="87" t="str">
        <f t="shared" si="202"/>
        <v>S</v>
      </c>
      <c r="FH7" s="92" t="str">
        <f t="shared" si="202"/>
        <v>S</v>
      </c>
      <c r="FI7" s="91" t="str">
        <f t="shared" si="202"/>
        <v>M</v>
      </c>
      <c r="FJ7" s="87" t="str">
        <f t="shared" si="202"/>
        <v>T</v>
      </c>
      <c r="FK7" s="87" t="str">
        <f t="shared" si="202"/>
        <v>W</v>
      </c>
      <c r="FL7" s="87" t="str">
        <f t="shared" si="202"/>
        <v>T</v>
      </c>
      <c r="FM7" s="87" t="str">
        <f t="shared" si="202"/>
        <v>F</v>
      </c>
      <c r="FN7" s="87" t="str">
        <f t="shared" si="202"/>
        <v>S</v>
      </c>
      <c r="FO7" s="92" t="str">
        <f t="shared" si="202"/>
        <v>S</v>
      </c>
      <c r="FP7" s="91" t="str">
        <f t="shared" si="202"/>
        <v>M</v>
      </c>
      <c r="FQ7" s="87" t="str">
        <f t="shared" si="202"/>
        <v>T</v>
      </c>
      <c r="FR7" s="87" t="str">
        <f t="shared" si="202"/>
        <v>W</v>
      </c>
      <c r="FS7" s="87" t="str">
        <f t="shared" si="202"/>
        <v>T</v>
      </c>
      <c r="FT7" s="87" t="str">
        <f t="shared" si="202"/>
        <v>F</v>
      </c>
      <c r="FU7" s="87" t="str">
        <f t="shared" si="202"/>
        <v>S</v>
      </c>
      <c r="FV7" s="92" t="str">
        <f t="shared" si="202"/>
        <v>S</v>
      </c>
      <c r="FW7" s="91" t="str">
        <f t="shared" ref="FW7:IH7" si="203">CHOOSE(WEEKDAY(FW6,1),"S","M","T","W","T","F","S")</f>
        <v>M</v>
      </c>
      <c r="FX7" s="87" t="str">
        <f t="shared" si="203"/>
        <v>T</v>
      </c>
      <c r="FY7" s="87" t="str">
        <f t="shared" si="203"/>
        <v>W</v>
      </c>
      <c r="FZ7" s="87" t="str">
        <f t="shared" si="203"/>
        <v>T</v>
      </c>
      <c r="GA7" s="87" t="str">
        <f t="shared" si="203"/>
        <v>F</v>
      </c>
      <c r="GB7" s="87" t="str">
        <f t="shared" si="203"/>
        <v>S</v>
      </c>
      <c r="GC7" s="92" t="str">
        <f t="shared" si="203"/>
        <v>S</v>
      </c>
      <c r="GD7" s="91" t="str">
        <f t="shared" si="203"/>
        <v>M</v>
      </c>
      <c r="GE7" s="87" t="str">
        <f t="shared" si="203"/>
        <v>T</v>
      </c>
      <c r="GF7" s="87" t="str">
        <f t="shared" si="203"/>
        <v>W</v>
      </c>
      <c r="GG7" s="87" t="str">
        <f t="shared" si="203"/>
        <v>T</v>
      </c>
      <c r="GH7" s="87" t="str">
        <f t="shared" si="203"/>
        <v>F</v>
      </c>
      <c r="GI7" s="87" t="str">
        <f t="shared" si="203"/>
        <v>S</v>
      </c>
      <c r="GJ7" s="92" t="str">
        <f t="shared" si="203"/>
        <v>S</v>
      </c>
      <c r="GK7" s="91" t="str">
        <f t="shared" si="203"/>
        <v>M</v>
      </c>
      <c r="GL7" s="87" t="str">
        <f t="shared" si="203"/>
        <v>T</v>
      </c>
      <c r="GM7" s="87" t="str">
        <f t="shared" si="203"/>
        <v>W</v>
      </c>
      <c r="GN7" s="87" t="str">
        <f t="shared" si="203"/>
        <v>T</v>
      </c>
      <c r="GO7" s="87" t="str">
        <f t="shared" si="203"/>
        <v>F</v>
      </c>
      <c r="GP7" s="87" t="str">
        <f t="shared" si="203"/>
        <v>S</v>
      </c>
      <c r="GQ7" s="92" t="str">
        <f t="shared" si="203"/>
        <v>S</v>
      </c>
      <c r="GR7" s="91" t="str">
        <f t="shared" si="203"/>
        <v>M</v>
      </c>
      <c r="GS7" s="87" t="str">
        <f t="shared" si="203"/>
        <v>T</v>
      </c>
      <c r="GT7" s="87" t="str">
        <f t="shared" si="203"/>
        <v>W</v>
      </c>
      <c r="GU7" s="87" t="str">
        <f t="shared" si="203"/>
        <v>T</v>
      </c>
      <c r="GV7" s="87" t="str">
        <f t="shared" si="203"/>
        <v>F</v>
      </c>
      <c r="GW7" s="87" t="str">
        <f t="shared" si="203"/>
        <v>S</v>
      </c>
      <c r="GX7" s="92" t="str">
        <f t="shared" si="203"/>
        <v>S</v>
      </c>
      <c r="GY7" s="91" t="str">
        <f t="shared" si="203"/>
        <v>M</v>
      </c>
      <c r="GZ7" s="87" t="str">
        <f t="shared" si="203"/>
        <v>T</v>
      </c>
      <c r="HA7" s="87" t="str">
        <f t="shared" si="203"/>
        <v>W</v>
      </c>
      <c r="HB7" s="87" t="str">
        <f t="shared" si="203"/>
        <v>T</v>
      </c>
      <c r="HC7" s="87" t="str">
        <f t="shared" si="203"/>
        <v>F</v>
      </c>
      <c r="HD7" s="87" t="str">
        <f t="shared" si="203"/>
        <v>S</v>
      </c>
      <c r="HE7" s="92" t="str">
        <f t="shared" si="203"/>
        <v>S</v>
      </c>
      <c r="HF7" s="91" t="str">
        <f t="shared" si="203"/>
        <v>M</v>
      </c>
      <c r="HG7" s="87" t="str">
        <f t="shared" si="203"/>
        <v>T</v>
      </c>
      <c r="HH7" s="87" t="str">
        <f t="shared" si="203"/>
        <v>W</v>
      </c>
      <c r="HI7" s="87" t="str">
        <f t="shared" si="203"/>
        <v>T</v>
      </c>
      <c r="HJ7" s="87" t="str">
        <f t="shared" si="203"/>
        <v>F</v>
      </c>
      <c r="HK7" s="87" t="str">
        <f t="shared" si="203"/>
        <v>S</v>
      </c>
      <c r="HL7" s="92" t="str">
        <f t="shared" si="203"/>
        <v>S</v>
      </c>
      <c r="HM7" s="91" t="str">
        <f t="shared" si="203"/>
        <v>M</v>
      </c>
      <c r="HN7" s="87" t="str">
        <f t="shared" si="203"/>
        <v>T</v>
      </c>
      <c r="HO7" s="87" t="str">
        <f t="shared" si="203"/>
        <v>W</v>
      </c>
      <c r="HP7" s="87" t="str">
        <f t="shared" si="203"/>
        <v>T</v>
      </c>
      <c r="HQ7" s="87" t="str">
        <f t="shared" si="203"/>
        <v>F</v>
      </c>
      <c r="HR7" s="87" t="str">
        <f t="shared" si="203"/>
        <v>S</v>
      </c>
      <c r="HS7" s="92" t="str">
        <f t="shared" si="203"/>
        <v>S</v>
      </c>
      <c r="HT7" s="91" t="str">
        <f t="shared" si="203"/>
        <v>M</v>
      </c>
      <c r="HU7" s="87" t="str">
        <f t="shared" si="203"/>
        <v>T</v>
      </c>
      <c r="HV7" s="87" t="str">
        <f t="shared" si="203"/>
        <v>W</v>
      </c>
      <c r="HW7" s="87" t="str">
        <f t="shared" si="203"/>
        <v>T</v>
      </c>
      <c r="HX7" s="87" t="str">
        <f t="shared" si="203"/>
        <v>F</v>
      </c>
      <c r="HY7" s="87" t="str">
        <f t="shared" si="203"/>
        <v>S</v>
      </c>
      <c r="HZ7" s="92" t="str">
        <f t="shared" si="203"/>
        <v>S</v>
      </c>
      <c r="IA7" s="91" t="str">
        <f t="shared" si="203"/>
        <v>M</v>
      </c>
      <c r="IB7" s="87" t="str">
        <f t="shared" si="203"/>
        <v>T</v>
      </c>
      <c r="IC7" s="87" t="str">
        <f t="shared" si="203"/>
        <v>W</v>
      </c>
      <c r="ID7" s="87" t="str">
        <f t="shared" si="203"/>
        <v>T</v>
      </c>
      <c r="IE7" s="87" t="str">
        <f t="shared" si="203"/>
        <v>F</v>
      </c>
      <c r="IF7" s="87" t="str">
        <f t="shared" si="203"/>
        <v>S</v>
      </c>
      <c r="IG7" s="92" t="str">
        <f t="shared" si="203"/>
        <v>S</v>
      </c>
      <c r="IH7" s="91" t="str">
        <f t="shared" si="203"/>
        <v>M</v>
      </c>
      <c r="II7" s="87" t="str">
        <f t="shared" ref="II7:JB7" si="204">CHOOSE(WEEKDAY(II6,1),"S","M","T","W","T","F","S")</f>
        <v>T</v>
      </c>
      <c r="IJ7" s="87" t="str">
        <f t="shared" si="204"/>
        <v>W</v>
      </c>
      <c r="IK7" s="87" t="str">
        <f t="shared" si="204"/>
        <v>T</v>
      </c>
      <c r="IL7" s="87" t="str">
        <f t="shared" si="204"/>
        <v>F</v>
      </c>
      <c r="IM7" s="87" t="str">
        <f t="shared" si="204"/>
        <v>S</v>
      </c>
      <c r="IN7" s="92" t="str">
        <f t="shared" si="204"/>
        <v>S</v>
      </c>
      <c r="IO7" s="91" t="str">
        <f t="shared" si="204"/>
        <v>M</v>
      </c>
      <c r="IP7" s="87" t="str">
        <f t="shared" si="204"/>
        <v>T</v>
      </c>
      <c r="IQ7" s="87" t="str">
        <f t="shared" si="204"/>
        <v>W</v>
      </c>
      <c r="IR7" s="87" t="str">
        <f t="shared" si="204"/>
        <v>T</v>
      </c>
      <c r="IS7" s="87" t="str">
        <f t="shared" si="204"/>
        <v>F</v>
      </c>
      <c r="IT7" s="87" t="str">
        <f t="shared" si="204"/>
        <v>S</v>
      </c>
      <c r="IU7" s="92" t="str">
        <f t="shared" si="204"/>
        <v>S</v>
      </c>
      <c r="IV7" s="91" t="str">
        <f t="shared" si="204"/>
        <v>M</v>
      </c>
      <c r="IW7" s="87" t="str">
        <f t="shared" si="204"/>
        <v>T</v>
      </c>
      <c r="IX7" s="87" t="str">
        <f t="shared" si="204"/>
        <v>W</v>
      </c>
      <c r="IY7" s="87" t="str">
        <f t="shared" si="204"/>
        <v>T</v>
      </c>
      <c r="IZ7" s="87" t="str">
        <f t="shared" si="204"/>
        <v>F</v>
      </c>
      <c r="JA7" s="87" t="str">
        <f t="shared" si="204"/>
        <v>S</v>
      </c>
      <c r="JB7" s="92" t="str">
        <f t="shared" si="204"/>
        <v>S</v>
      </c>
    </row>
    <row r="8" spans="1:262" s="103" customFormat="1" ht="50" customHeight="1" x14ac:dyDescent="0.25">
      <c r="A8" s="98"/>
      <c r="B8" s="104" t="s">
        <v>161</v>
      </c>
      <c r="C8" s="99"/>
      <c r="D8" s="100"/>
      <c r="E8" s="101"/>
      <c r="F8" s="101"/>
      <c r="G8" s="99"/>
      <c r="H8" s="99"/>
      <c r="I8" s="99"/>
      <c r="J8" s="99"/>
      <c r="K8" s="102"/>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2"/>
      <c r="BM8" s="102"/>
      <c r="BN8" s="102"/>
      <c r="BO8" s="102"/>
      <c r="BP8" s="102"/>
      <c r="BQ8" s="102"/>
      <c r="BR8" s="102"/>
      <c r="BS8" s="102"/>
      <c r="BT8" s="102"/>
      <c r="BU8" s="102"/>
      <c r="BV8" s="102"/>
      <c r="BW8" s="102"/>
      <c r="BX8" s="102"/>
      <c r="BY8" s="102"/>
      <c r="BZ8" s="102"/>
      <c r="CA8" s="102"/>
      <c r="CB8" s="102"/>
      <c r="CC8" s="102"/>
      <c r="CD8" s="102"/>
      <c r="CE8" s="102"/>
      <c r="CF8" s="102"/>
      <c r="CG8" s="102"/>
      <c r="CH8" s="102"/>
      <c r="CI8" s="102"/>
      <c r="CJ8" s="102"/>
      <c r="CK8" s="102"/>
      <c r="CL8" s="102"/>
      <c r="CM8" s="102"/>
      <c r="CN8" s="102"/>
      <c r="CO8" s="102"/>
      <c r="CP8" s="102"/>
      <c r="CQ8" s="102"/>
      <c r="CR8" s="102"/>
      <c r="CS8" s="102"/>
      <c r="CT8" s="102"/>
      <c r="CU8" s="102"/>
      <c r="CV8" s="102"/>
      <c r="CW8" s="102"/>
      <c r="CX8" s="102"/>
      <c r="CY8" s="102"/>
      <c r="CZ8" s="102"/>
      <c r="DA8" s="102"/>
      <c r="DB8" s="102"/>
      <c r="DC8" s="102"/>
      <c r="DD8" s="102"/>
      <c r="DE8" s="102"/>
      <c r="DF8" s="102"/>
      <c r="DG8" s="102"/>
      <c r="DH8" s="102"/>
      <c r="DI8" s="102"/>
      <c r="DJ8" s="102"/>
      <c r="DK8" s="102"/>
      <c r="DL8" s="102"/>
      <c r="DM8" s="102"/>
      <c r="DN8" s="102"/>
      <c r="DO8" s="102"/>
      <c r="DP8" s="102"/>
      <c r="DQ8" s="102"/>
      <c r="DR8" s="102"/>
      <c r="DS8" s="102"/>
      <c r="DT8" s="102"/>
      <c r="DU8" s="102"/>
      <c r="DV8" s="102"/>
      <c r="DW8" s="102"/>
      <c r="DX8" s="102"/>
      <c r="DY8" s="102"/>
      <c r="DZ8" s="102"/>
      <c r="EA8" s="102"/>
      <c r="EB8" s="102"/>
      <c r="EC8" s="102"/>
      <c r="ED8" s="102"/>
      <c r="EE8" s="102"/>
      <c r="EF8" s="102"/>
      <c r="EG8" s="102"/>
      <c r="EH8" s="102"/>
      <c r="EI8" s="102"/>
      <c r="EJ8" s="102"/>
      <c r="EK8" s="102"/>
      <c r="EL8" s="102"/>
      <c r="EM8" s="102"/>
      <c r="EN8" s="102"/>
      <c r="EO8" s="102"/>
      <c r="EP8" s="102"/>
      <c r="EQ8" s="102"/>
      <c r="ER8" s="102"/>
      <c r="ES8" s="102"/>
      <c r="ET8" s="102"/>
      <c r="EU8" s="102"/>
      <c r="EV8" s="102"/>
      <c r="EW8" s="102"/>
      <c r="EX8" s="102"/>
      <c r="EY8" s="102"/>
      <c r="EZ8" s="102"/>
      <c r="FA8" s="102"/>
      <c r="FB8" s="102"/>
      <c r="FC8" s="102"/>
      <c r="FD8" s="102"/>
      <c r="FE8" s="102"/>
      <c r="FF8" s="102"/>
      <c r="FG8" s="102"/>
      <c r="FH8" s="102"/>
      <c r="FI8" s="102"/>
      <c r="FJ8" s="102"/>
      <c r="FK8" s="102"/>
      <c r="FL8" s="102"/>
      <c r="FM8" s="102"/>
      <c r="FN8" s="102"/>
      <c r="FO8" s="102"/>
      <c r="FP8" s="102"/>
      <c r="FQ8" s="102"/>
      <c r="FR8" s="102"/>
      <c r="FS8" s="102"/>
      <c r="FT8" s="102"/>
      <c r="FU8" s="102"/>
      <c r="FV8" s="102"/>
      <c r="FW8" s="102"/>
      <c r="FX8" s="102"/>
      <c r="FY8" s="102"/>
      <c r="FZ8" s="102"/>
      <c r="GA8" s="102"/>
      <c r="GB8" s="102"/>
      <c r="GC8" s="102"/>
      <c r="GD8" s="102"/>
      <c r="GE8" s="102"/>
      <c r="GF8" s="102"/>
      <c r="GG8" s="102"/>
      <c r="GH8" s="102"/>
      <c r="GI8" s="102"/>
      <c r="GJ8" s="102"/>
      <c r="GK8" s="102"/>
      <c r="GL8" s="102"/>
      <c r="GM8" s="102"/>
      <c r="GN8" s="102"/>
      <c r="GO8" s="102"/>
      <c r="GP8" s="102"/>
      <c r="GQ8" s="102"/>
      <c r="GR8" s="102"/>
      <c r="GS8" s="102"/>
      <c r="GT8" s="102"/>
      <c r="GU8" s="102"/>
      <c r="GV8" s="102"/>
      <c r="GW8" s="102"/>
      <c r="GX8" s="102"/>
      <c r="GY8" s="102"/>
      <c r="GZ8" s="102"/>
      <c r="HA8" s="102"/>
      <c r="HB8" s="102"/>
      <c r="HC8" s="102"/>
      <c r="HD8" s="102"/>
      <c r="HE8" s="102"/>
      <c r="HF8" s="102"/>
      <c r="HG8" s="102"/>
      <c r="HH8" s="102"/>
      <c r="HI8" s="102"/>
      <c r="HJ8" s="102"/>
      <c r="HK8" s="102"/>
      <c r="HL8" s="102"/>
      <c r="HM8" s="102"/>
      <c r="HN8" s="102"/>
      <c r="HO8" s="102"/>
      <c r="HP8" s="102"/>
      <c r="HQ8" s="102"/>
      <c r="HR8" s="102"/>
      <c r="HS8" s="102"/>
      <c r="HT8" s="102"/>
      <c r="HU8" s="102"/>
      <c r="HV8" s="102"/>
      <c r="HW8" s="102"/>
      <c r="HX8" s="102"/>
      <c r="HY8" s="102"/>
      <c r="HZ8" s="102"/>
      <c r="IA8" s="102"/>
      <c r="IB8" s="102"/>
      <c r="IC8" s="102"/>
      <c r="ID8" s="102"/>
      <c r="IE8" s="102"/>
      <c r="IF8" s="102"/>
      <c r="IG8" s="102"/>
      <c r="IH8" s="102"/>
      <c r="II8" s="102"/>
      <c r="IJ8" s="102"/>
      <c r="IK8" s="102"/>
      <c r="IL8" s="102"/>
      <c r="IM8" s="102"/>
      <c r="IN8" s="102"/>
      <c r="IO8" s="102"/>
      <c r="IP8" s="102"/>
      <c r="IQ8" s="102"/>
      <c r="IR8" s="102"/>
      <c r="IS8" s="102"/>
      <c r="IT8" s="102"/>
      <c r="IU8" s="102"/>
      <c r="IV8" s="102"/>
      <c r="IW8" s="102"/>
      <c r="IX8" s="102"/>
      <c r="IY8" s="102"/>
      <c r="IZ8" s="102"/>
      <c r="JA8" s="102"/>
      <c r="JB8" s="102"/>
    </row>
    <row r="9" spans="1:262" s="69" customFormat="1" ht="45.5" customHeight="1" x14ac:dyDescent="0.25">
      <c r="A9" s="77" t="str">
        <f>IF(ISERROR(VALUE(SUBSTITUTE(prevWBS,".",""))),"1",IF(ISERROR(FIND("`",SUBSTITUTE(prevWBS,".","`",1))),TEXT(VALUE(prevWBS)+1,"#"),TEXT(VALUE(LEFT(prevWBS,FIND("`",SUBSTITUTE(prevWBS,".","`",1))-1))+1,"#")))</f>
        <v>1</v>
      </c>
      <c r="B9" s="106" t="s">
        <v>129</v>
      </c>
      <c r="C9" s="78"/>
      <c r="D9" s="79"/>
      <c r="E9" s="80"/>
      <c r="F9" s="81" t="str">
        <f>IF(ISBLANK(E9)," - ",IF(G9=0,E9,E9+G9-1))</f>
        <v xml:space="preserve"> - </v>
      </c>
      <c r="G9" s="82"/>
      <c r="H9" s="83"/>
      <c r="I9" s="84" t="str">
        <f t="shared" ref="I9:I24" si="205">IF(OR(F9=0,E9=0)," - ",NETWORKDAYS(E9,F9))</f>
        <v xml:space="preserve"> - </v>
      </c>
      <c r="J9" s="85"/>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c r="CY9" s="86"/>
      <c r="CZ9" s="86"/>
      <c r="DA9" s="86"/>
      <c r="DB9" s="86"/>
      <c r="DC9" s="86"/>
      <c r="DD9" s="86"/>
      <c r="DE9" s="86"/>
      <c r="DF9" s="86"/>
      <c r="DG9" s="86"/>
      <c r="DH9" s="86"/>
      <c r="DI9" s="86"/>
      <c r="DJ9" s="86"/>
      <c r="DK9" s="86"/>
      <c r="DL9" s="86"/>
      <c r="DM9" s="86"/>
      <c r="DN9" s="86"/>
      <c r="DO9" s="86"/>
      <c r="DP9" s="86"/>
      <c r="DQ9" s="86"/>
      <c r="DR9" s="86"/>
      <c r="DS9" s="86"/>
      <c r="DT9" s="86"/>
      <c r="DU9" s="86"/>
      <c r="DV9" s="86"/>
      <c r="DW9" s="86"/>
      <c r="DX9" s="86"/>
      <c r="DY9" s="86"/>
      <c r="DZ9" s="86"/>
      <c r="EA9" s="86"/>
      <c r="EB9" s="86"/>
      <c r="EC9" s="86"/>
      <c r="ED9" s="86"/>
      <c r="EE9" s="86"/>
      <c r="EF9" s="86"/>
      <c r="EG9" s="86"/>
      <c r="EH9" s="86"/>
      <c r="EI9" s="86"/>
      <c r="EJ9" s="86"/>
      <c r="EK9" s="86"/>
      <c r="EL9" s="86"/>
      <c r="EM9" s="86"/>
      <c r="EN9" s="86"/>
      <c r="EO9" s="86"/>
      <c r="EP9" s="86"/>
      <c r="EQ9" s="86"/>
      <c r="ER9" s="86"/>
      <c r="ES9" s="86"/>
      <c r="ET9" s="86"/>
      <c r="EU9" s="86"/>
      <c r="EV9" s="86"/>
      <c r="EW9" s="86"/>
      <c r="EX9" s="86"/>
      <c r="EY9" s="86"/>
      <c r="EZ9" s="86"/>
      <c r="FA9" s="86"/>
      <c r="FB9" s="86"/>
      <c r="FC9" s="86"/>
      <c r="FD9" s="86"/>
      <c r="FE9" s="86"/>
      <c r="FF9" s="86"/>
      <c r="FG9" s="86"/>
      <c r="FH9" s="86"/>
      <c r="FI9" s="86"/>
      <c r="FJ9" s="86"/>
      <c r="FK9" s="86"/>
      <c r="FL9" s="86"/>
      <c r="FM9" s="86"/>
      <c r="FN9" s="86"/>
      <c r="FO9" s="86"/>
      <c r="FP9" s="86"/>
      <c r="FQ9" s="86"/>
      <c r="FR9" s="86"/>
      <c r="FS9" s="86"/>
      <c r="FT9" s="86"/>
      <c r="FU9" s="86"/>
      <c r="FV9" s="86"/>
      <c r="FW9" s="86"/>
      <c r="FX9" s="86"/>
      <c r="FY9" s="86"/>
      <c r="FZ9" s="86"/>
      <c r="GA9" s="86"/>
      <c r="GB9" s="86"/>
      <c r="GC9" s="86"/>
      <c r="GD9" s="86"/>
      <c r="GE9" s="86"/>
      <c r="GF9" s="86"/>
      <c r="GG9" s="86"/>
      <c r="GH9" s="86"/>
      <c r="GI9" s="86"/>
      <c r="GJ9" s="86"/>
      <c r="GK9" s="86"/>
      <c r="GL9" s="86"/>
      <c r="GM9" s="86"/>
      <c r="GN9" s="86"/>
      <c r="GO9" s="86"/>
      <c r="GP9" s="86"/>
      <c r="GQ9" s="86"/>
      <c r="GR9" s="86"/>
      <c r="GS9" s="86"/>
      <c r="GT9" s="86"/>
      <c r="GU9" s="86"/>
      <c r="GV9" s="86"/>
      <c r="GW9" s="86"/>
      <c r="GX9" s="86"/>
      <c r="GY9" s="86"/>
      <c r="GZ9" s="86"/>
      <c r="HA9" s="86"/>
      <c r="HB9" s="86"/>
      <c r="HC9" s="86"/>
      <c r="HD9" s="86"/>
      <c r="HE9" s="86"/>
      <c r="HF9" s="86"/>
      <c r="HG9" s="86"/>
      <c r="HH9" s="86"/>
      <c r="HI9" s="86"/>
      <c r="HJ9" s="86"/>
      <c r="HK9" s="86"/>
      <c r="HL9" s="86"/>
      <c r="HM9" s="86"/>
      <c r="HN9" s="86"/>
      <c r="HO9" s="86"/>
      <c r="HP9" s="86"/>
      <c r="HQ9" s="86"/>
      <c r="HR9" s="86"/>
      <c r="HS9" s="86"/>
      <c r="HT9" s="86"/>
      <c r="HU9" s="86"/>
      <c r="HV9" s="86"/>
      <c r="HW9" s="86"/>
      <c r="HX9" s="86"/>
      <c r="HY9" s="86"/>
      <c r="HZ9" s="86"/>
      <c r="IA9" s="86"/>
      <c r="IB9" s="86"/>
      <c r="IC9" s="86"/>
      <c r="ID9" s="86"/>
      <c r="IE9" s="86"/>
      <c r="IF9" s="86"/>
      <c r="IG9" s="86"/>
      <c r="IH9" s="86"/>
      <c r="II9" s="86"/>
      <c r="IJ9" s="86"/>
      <c r="IK9" s="86"/>
      <c r="IL9" s="86"/>
      <c r="IM9" s="86"/>
      <c r="IN9" s="86"/>
      <c r="IO9" s="86"/>
      <c r="IP9" s="86"/>
      <c r="IQ9" s="86"/>
      <c r="IR9" s="86"/>
      <c r="IS9" s="86"/>
      <c r="IT9" s="86"/>
      <c r="IU9" s="86"/>
      <c r="IV9" s="86"/>
      <c r="IW9" s="86"/>
      <c r="IX9" s="86"/>
      <c r="IY9" s="86"/>
      <c r="IZ9" s="86"/>
      <c r="JA9" s="86"/>
      <c r="JB9" s="86"/>
    </row>
    <row r="10" spans="1:262" s="33" customFormat="1" ht="39" customHeight="1" x14ac:dyDescent="0.25">
      <c r="A10" s="32" t="str">
        <f t="shared" ref="A10:A12" si="206">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10" s="93" t="s">
        <v>130</v>
      </c>
      <c r="C10" s="97" t="s">
        <v>133</v>
      </c>
      <c r="D10" s="39" t="s">
        <v>153</v>
      </c>
      <c r="E10" s="95">
        <v>45929</v>
      </c>
      <c r="F10" s="123">
        <v>45946</v>
      </c>
      <c r="G10" s="124">
        <v>18</v>
      </c>
      <c r="H10" s="113">
        <v>1</v>
      </c>
      <c r="I10" s="125">
        <f>IF(OR(F10=0,E10=0)," - ",NETWORKDAYS(E10,F10))</f>
        <v>14</v>
      </c>
      <c r="J10" s="34"/>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32"/>
      <c r="GR10" s="32"/>
      <c r="GS10" s="32"/>
      <c r="GT10" s="32"/>
      <c r="GU10" s="32"/>
      <c r="GV10" s="32"/>
      <c r="GW10" s="32"/>
      <c r="GX10" s="32"/>
      <c r="GY10" s="32"/>
      <c r="GZ10" s="32"/>
      <c r="HA10" s="32"/>
      <c r="HB10" s="32"/>
      <c r="HC10" s="32"/>
      <c r="HD10" s="32"/>
      <c r="HE10" s="32"/>
      <c r="HF10" s="32"/>
      <c r="HG10" s="32"/>
      <c r="HH10" s="32"/>
      <c r="HI10" s="32"/>
      <c r="HJ10" s="32"/>
      <c r="HK10" s="32"/>
      <c r="HL10" s="32"/>
      <c r="HM10" s="32"/>
      <c r="HN10" s="32"/>
      <c r="HO10" s="32"/>
      <c r="HP10" s="32"/>
      <c r="HQ10" s="32"/>
      <c r="HR10" s="32"/>
      <c r="HS10" s="32"/>
      <c r="HT10" s="32"/>
      <c r="HU10" s="32"/>
      <c r="HV10" s="32"/>
      <c r="HW10" s="32"/>
      <c r="HX10" s="32"/>
      <c r="HY10" s="32"/>
      <c r="HZ10" s="32"/>
      <c r="IA10" s="32"/>
      <c r="IB10" s="32"/>
      <c r="IC10" s="32"/>
      <c r="ID10" s="32"/>
      <c r="IE10" s="32"/>
      <c r="IF10" s="32"/>
      <c r="IG10" s="32"/>
      <c r="IH10" s="32"/>
      <c r="II10" s="32"/>
      <c r="IJ10" s="32"/>
      <c r="IK10" s="32"/>
      <c r="IL10" s="32"/>
      <c r="IM10" s="32"/>
      <c r="IN10" s="32"/>
      <c r="IO10" s="32"/>
      <c r="IP10" s="32"/>
      <c r="IQ10" s="32"/>
      <c r="IR10" s="32"/>
      <c r="IS10" s="32"/>
      <c r="IT10" s="32"/>
      <c r="IU10" s="32"/>
      <c r="IV10" s="32"/>
      <c r="IW10" s="32"/>
      <c r="IX10" s="32"/>
      <c r="IY10" s="32"/>
      <c r="IZ10" s="32"/>
      <c r="JA10" s="32"/>
      <c r="JB10" s="32"/>
    </row>
    <row r="11" spans="1:262" s="33" customFormat="1" ht="39.5" customHeight="1" x14ac:dyDescent="0.25">
      <c r="A11" s="32" t="str">
        <f t="shared" si="206"/>
        <v>1.2</v>
      </c>
      <c r="B11" s="93" t="s">
        <v>131</v>
      </c>
      <c r="C11" s="97" t="s">
        <v>136</v>
      </c>
      <c r="D11" s="39" t="s">
        <v>153</v>
      </c>
      <c r="E11" s="95">
        <v>45929</v>
      </c>
      <c r="F11" s="123">
        <v>45946</v>
      </c>
      <c r="G11" s="124">
        <v>18</v>
      </c>
      <c r="H11" s="113">
        <v>1</v>
      </c>
      <c r="I11" s="125">
        <f t="shared" si="205"/>
        <v>14</v>
      </c>
      <c r="J11" s="34"/>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32"/>
      <c r="GR11" s="32"/>
      <c r="GS11" s="32"/>
      <c r="GT11" s="32"/>
      <c r="GU11" s="32"/>
      <c r="GV11" s="32"/>
      <c r="GW11" s="32"/>
      <c r="GX11" s="32"/>
      <c r="GY11" s="32"/>
      <c r="GZ11" s="32"/>
      <c r="HA11" s="32"/>
      <c r="HB11" s="32"/>
      <c r="HC11" s="32"/>
      <c r="HD11" s="32"/>
      <c r="HE11" s="32"/>
      <c r="HF11" s="32"/>
      <c r="HG11" s="32"/>
      <c r="HH11" s="32"/>
      <c r="HI11" s="32"/>
      <c r="HJ11" s="32"/>
      <c r="HK11" s="32"/>
      <c r="HL11" s="32"/>
      <c r="HM11" s="32"/>
      <c r="HN11" s="32"/>
      <c r="HO11" s="32"/>
      <c r="HP11" s="32"/>
      <c r="HQ11" s="32"/>
      <c r="HR11" s="32"/>
      <c r="HS11" s="32"/>
      <c r="HT11" s="32"/>
      <c r="HU11" s="32"/>
      <c r="HV11" s="32"/>
      <c r="HW11" s="32"/>
      <c r="HX11" s="32"/>
      <c r="HY11" s="32"/>
      <c r="HZ11" s="32"/>
      <c r="IA11" s="32"/>
      <c r="IB11" s="32"/>
      <c r="IC11" s="32"/>
      <c r="ID11" s="32"/>
      <c r="IE11" s="32"/>
      <c r="IF11" s="32"/>
      <c r="IG11" s="32"/>
      <c r="IH11" s="32"/>
      <c r="II11" s="32"/>
      <c r="IJ11" s="32"/>
      <c r="IK11" s="32"/>
      <c r="IL11" s="32"/>
      <c r="IM11" s="32"/>
      <c r="IN11" s="32"/>
      <c r="IO11" s="32"/>
      <c r="IP11" s="32"/>
      <c r="IQ11" s="32"/>
      <c r="IR11" s="32"/>
      <c r="IS11" s="32"/>
      <c r="IT11" s="32"/>
      <c r="IU11" s="32"/>
      <c r="IV11" s="32"/>
      <c r="IW11" s="32"/>
      <c r="IX11" s="32"/>
      <c r="IY11" s="32"/>
      <c r="IZ11" s="32"/>
      <c r="JA11" s="32"/>
      <c r="JB11" s="32"/>
    </row>
    <row r="12" spans="1:262" s="33" customFormat="1" ht="41" customHeight="1" x14ac:dyDescent="0.25">
      <c r="A12" s="32" t="str">
        <f t="shared" si="206"/>
        <v>1.3</v>
      </c>
      <c r="B12" s="93" t="s">
        <v>134</v>
      </c>
      <c r="C12" s="97" t="s">
        <v>137</v>
      </c>
      <c r="D12" s="39" t="s">
        <v>153</v>
      </c>
      <c r="E12" s="95">
        <v>45929</v>
      </c>
      <c r="F12" s="123">
        <v>45946</v>
      </c>
      <c r="G12" s="124">
        <v>18</v>
      </c>
      <c r="H12" s="113">
        <v>1</v>
      </c>
      <c r="I12" s="125">
        <f t="shared" si="205"/>
        <v>14</v>
      </c>
      <c r="J12" s="34"/>
      <c r="K12" s="32"/>
      <c r="L12" s="32"/>
      <c r="M12" s="35"/>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32"/>
      <c r="GR12" s="32"/>
      <c r="GS12" s="32"/>
      <c r="GT12" s="32"/>
      <c r="GU12" s="32"/>
      <c r="GV12" s="32"/>
      <c r="GW12" s="32"/>
      <c r="GX12" s="32"/>
      <c r="GY12" s="32"/>
      <c r="GZ12" s="32"/>
      <c r="HA12" s="32"/>
      <c r="HB12" s="32"/>
      <c r="HC12" s="32"/>
      <c r="HD12" s="32"/>
      <c r="HE12" s="32"/>
      <c r="HF12" s="32"/>
      <c r="HG12" s="32"/>
      <c r="HH12" s="32"/>
      <c r="HI12" s="32"/>
      <c r="HJ12" s="32"/>
      <c r="HK12" s="32"/>
      <c r="HL12" s="32"/>
      <c r="HM12" s="32"/>
      <c r="HN12" s="32"/>
      <c r="HO12" s="32"/>
      <c r="HP12" s="32"/>
      <c r="HQ12" s="32"/>
      <c r="HR12" s="32"/>
      <c r="HS12" s="32"/>
      <c r="HT12" s="32"/>
      <c r="HU12" s="32"/>
      <c r="HV12" s="32"/>
      <c r="HW12" s="32"/>
      <c r="HX12" s="32"/>
      <c r="HY12" s="32"/>
      <c r="HZ12" s="32"/>
      <c r="IA12" s="32"/>
      <c r="IB12" s="32"/>
      <c r="IC12" s="32"/>
      <c r="ID12" s="32"/>
      <c r="IE12" s="32"/>
      <c r="IF12" s="32"/>
      <c r="IG12" s="32"/>
      <c r="IH12" s="32"/>
      <c r="II12" s="32"/>
      <c r="IJ12" s="32"/>
      <c r="IK12" s="32"/>
      <c r="IL12" s="32"/>
      <c r="IM12" s="32"/>
      <c r="IN12" s="32"/>
      <c r="IO12" s="32"/>
      <c r="IP12" s="32"/>
      <c r="IQ12" s="32"/>
      <c r="IR12" s="32"/>
      <c r="IS12" s="32"/>
      <c r="IT12" s="32"/>
      <c r="IU12" s="32"/>
      <c r="IV12" s="32"/>
      <c r="IW12" s="32"/>
      <c r="IX12" s="32"/>
      <c r="IY12" s="32"/>
      <c r="IZ12" s="32"/>
      <c r="JA12" s="32"/>
      <c r="JB12" s="32"/>
    </row>
    <row r="13" spans="1:262" s="33" customFormat="1" ht="39" customHeight="1" x14ac:dyDescent="0.25">
      <c r="A13" s="32"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1.4</v>
      </c>
      <c r="B13" s="93" t="s">
        <v>135</v>
      </c>
      <c r="C13" s="97" t="s">
        <v>138</v>
      </c>
      <c r="D13" s="39" t="s">
        <v>153</v>
      </c>
      <c r="E13" s="95">
        <v>45929</v>
      </c>
      <c r="F13" s="123">
        <v>45946</v>
      </c>
      <c r="G13" s="124">
        <v>18</v>
      </c>
      <c r="H13" s="113">
        <v>1</v>
      </c>
      <c r="I13" s="125">
        <f>IF(OR(F13=0,E13=0)," - ",NETWORKDAYS(E13,F13))</f>
        <v>14</v>
      </c>
      <c r="J13" s="34"/>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c r="GT13" s="32"/>
      <c r="GU13" s="32"/>
      <c r="GV13" s="32"/>
      <c r="GW13" s="32"/>
      <c r="GX13" s="32"/>
      <c r="GY13" s="32"/>
      <c r="GZ13" s="32"/>
      <c r="HA13" s="32"/>
      <c r="HB13" s="32"/>
      <c r="HC13" s="32"/>
      <c r="HD13" s="32"/>
      <c r="HE13" s="32"/>
      <c r="HF13" s="32"/>
      <c r="HG13" s="32"/>
      <c r="HH13" s="32"/>
      <c r="HI13" s="32"/>
      <c r="HJ13" s="32"/>
      <c r="HK13" s="32"/>
      <c r="HL13" s="32"/>
      <c r="HM13" s="32"/>
      <c r="HN13" s="32"/>
      <c r="HO13" s="32"/>
      <c r="HP13" s="32"/>
      <c r="HQ13" s="32"/>
      <c r="HR13" s="32"/>
      <c r="HS13" s="32"/>
      <c r="HT13" s="32"/>
      <c r="HU13" s="32"/>
      <c r="HV13" s="32"/>
      <c r="HW13" s="32"/>
      <c r="HX13" s="32"/>
      <c r="HY13" s="32"/>
      <c r="HZ13" s="32"/>
      <c r="IA13" s="32"/>
      <c r="IB13" s="32"/>
      <c r="IC13" s="32"/>
      <c r="ID13" s="32"/>
      <c r="IE13" s="32"/>
      <c r="IF13" s="32"/>
      <c r="IG13" s="32"/>
      <c r="IH13" s="32"/>
      <c r="II13" s="32"/>
      <c r="IJ13" s="32"/>
      <c r="IK13" s="32"/>
      <c r="IL13" s="32"/>
      <c r="IM13" s="32"/>
      <c r="IN13" s="32"/>
      <c r="IO13" s="32"/>
      <c r="IP13" s="32"/>
      <c r="IQ13" s="32"/>
      <c r="IR13" s="32"/>
      <c r="IS13" s="32"/>
      <c r="IT13" s="32"/>
      <c r="IU13" s="32"/>
      <c r="IV13" s="32"/>
      <c r="IW13" s="32"/>
      <c r="IX13" s="32"/>
      <c r="IY13" s="32"/>
      <c r="IZ13" s="32"/>
      <c r="JA13" s="32"/>
      <c r="JB13" s="32"/>
    </row>
    <row r="14" spans="1:262" s="33" customFormat="1" ht="39" customHeight="1" x14ac:dyDescent="0.25">
      <c r="A14" s="32">
        <v>1.5</v>
      </c>
      <c r="B14" s="94" t="s">
        <v>132</v>
      </c>
      <c r="C14" s="97" t="s">
        <v>139</v>
      </c>
      <c r="D14" s="39" t="s">
        <v>153</v>
      </c>
      <c r="E14" s="185">
        <v>45929</v>
      </c>
      <c r="F14" s="123">
        <v>45946</v>
      </c>
      <c r="G14" s="124">
        <v>18</v>
      </c>
      <c r="H14" s="113">
        <v>1</v>
      </c>
      <c r="I14" s="125">
        <f t="shared" si="205"/>
        <v>14</v>
      </c>
      <c r="J14" s="34"/>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32"/>
      <c r="GR14" s="32"/>
      <c r="GS14" s="32"/>
      <c r="GT14" s="32"/>
      <c r="GU14" s="32"/>
      <c r="GV14" s="32"/>
      <c r="GW14" s="32"/>
      <c r="GX14" s="32"/>
      <c r="GY14" s="32"/>
      <c r="GZ14" s="32"/>
      <c r="HA14" s="32"/>
      <c r="HB14" s="32"/>
      <c r="HC14" s="32"/>
      <c r="HD14" s="32"/>
      <c r="HE14" s="32"/>
      <c r="HF14" s="32"/>
      <c r="HG14" s="32"/>
      <c r="HH14" s="32"/>
      <c r="HI14" s="32"/>
      <c r="HJ14" s="32"/>
      <c r="HK14" s="32"/>
      <c r="HL14" s="32"/>
      <c r="HM14" s="32"/>
      <c r="HN14" s="32"/>
      <c r="HO14" s="32"/>
      <c r="HP14" s="32"/>
      <c r="HQ14" s="32"/>
      <c r="HR14" s="32"/>
      <c r="HS14" s="32"/>
      <c r="HT14" s="32"/>
      <c r="HU14" s="32"/>
      <c r="HV14" s="32"/>
      <c r="HW14" s="32"/>
      <c r="HX14" s="32"/>
      <c r="HY14" s="32"/>
      <c r="HZ14" s="32"/>
      <c r="IA14" s="32"/>
      <c r="IB14" s="32"/>
      <c r="IC14" s="32"/>
      <c r="ID14" s="32"/>
      <c r="IE14" s="32"/>
      <c r="IF14" s="32"/>
      <c r="IG14" s="32"/>
      <c r="IH14" s="32"/>
      <c r="II14" s="32"/>
      <c r="IJ14" s="32"/>
      <c r="IK14" s="32"/>
      <c r="IL14" s="32"/>
      <c r="IM14" s="32"/>
      <c r="IN14" s="32"/>
      <c r="IO14" s="32"/>
      <c r="IP14" s="32"/>
      <c r="IQ14" s="32"/>
      <c r="IR14" s="32"/>
      <c r="IS14" s="32"/>
      <c r="IT14" s="32"/>
      <c r="IU14" s="32"/>
      <c r="IV14" s="32"/>
      <c r="IW14" s="32"/>
      <c r="IX14" s="32"/>
      <c r="IY14" s="32"/>
      <c r="IZ14" s="32"/>
      <c r="JA14" s="32"/>
      <c r="JB14" s="32"/>
    </row>
    <row r="15" spans="1:262" s="69" customFormat="1" ht="45" customHeight="1" x14ac:dyDescent="0.25">
      <c r="A15" s="68" t="str">
        <f>IF(ISERROR(VALUE(SUBSTITUTE(prevWBS,".",""))),"1",IF(ISERROR(FIND("`",SUBSTITUTE(prevWBS,".","`",1))),TEXT(VALUE(prevWBS)+1,"#"),TEXT(VALUE(LEFT(prevWBS,FIND("`",SUBSTITUTE(prevWBS,".","`",1))-1))+1,"#")))</f>
        <v>2</v>
      </c>
      <c r="B15" s="105" t="s">
        <v>154</v>
      </c>
      <c r="D15" s="70"/>
      <c r="E15" s="71"/>
      <c r="F15" s="71" t="str">
        <f t="shared" ref="F15:F20" si="207">IF(ISBLANK(E15)," - ",IF(G15=0,E15,E15+G15-1))</f>
        <v xml:space="preserve"> - </v>
      </c>
      <c r="G15" s="72"/>
      <c r="H15" s="73"/>
      <c r="I15" s="74" t="str">
        <f t="shared" si="205"/>
        <v xml:space="preserve"> - </v>
      </c>
      <c r="J15" s="75"/>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6"/>
      <c r="BD15" s="76"/>
      <c r="BE15" s="76"/>
      <c r="BF15" s="76"/>
      <c r="BG15" s="76"/>
      <c r="BH15" s="76"/>
      <c r="BI15" s="76"/>
      <c r="BJ15" s="76"/>
      <c r="BK15" s="76"/>
      <c r="BL15" s="76"/>
      <c r="BM15" s="76"/>
      <c r="BN15" s="76"/>
      <c r="BO15" s="76"/>
      <c r="BP15" s="76"/>
      <c r="BQ15" s="76"/>
      <c r="BR15" s="76"/>
      <c r="BS15" s="76"/>
      <c r="BT15" s="76"/>
      <c r="BU15" s="76"/>
      <c r="BV15" s="76"/>
      <c r="BW15" s="76"/>
      <c r="BX15" s="76"/>
      <c r="BY15" s="76"/>
      <c r="BZ15" s="76"/>
      <c r="CA15" s="76"/>
      <c r="CB15" s="76"/>
      <c r="CC15" s="76"/>
      <c r="CD15" s="76"/>
      <c r="CE15" s="76"/>
      <c r="CF15" s="76"/>
      <c r="CG15" s="76"/>
      <c r="CH15" s="76"/>
      <c r="CI15" s="76"/>
      <c r="CJ15" s="76"/>
      <c r="CK15" s="76"/>
      <c r="CL15" s="76"/>
      <c r="CM15" s="76"/>
      <c r="CN15" s="76"/>
      <c r="CO15" s="76"/>
      <c r="CP15" s="76"/>
      <c r="CQ15" s="76"/>
      <c r="CR15" s="76"/>
      <c r="CS15" s="76"/>
      <c r="CT15" s="76"/>
      <c r="CU15" s="76"/>
      <c r="CV15" s="76"/>
      <c r="CW15" s="76"/>
      <c r="CX15" s="76"/>
      <c r="CY15" s="76"/>
      <c r="CZ15" s="76"/>
      <c r="DA15" s="76"/>
      <c r="DB15" s="76"/>
      <c r="DC15" s="76"/>
      <c r="DD15" s="76"/>
      <c r="DE15" s="76"/>
      <c r="DF15" s="76"/>
      <c r="DG15" s="76"/>
      <c r="DH15" s="76"/>
      <c r="DI15" s="76"/>
      <c r="DJ15" s="76"/>
      <c r="DK15" s="76"/>
      <c r="DL15" s="76"/>
      <c r="DM15" s="76"/>
      <c r="DN15" s="76"/>
      <c r="DO15" s="76"/>
      <c r="DP15" s="76"/>
      <c r="DQ15" s="76"/>
      <c r="DR15" s="76"/>
      <c r="DS15" s="76"/>
      <c r="DT15" s="76"/>
      <c r="DU15" s="76"/>
      <c r="DV15" s="76"/>
      <c r="DW15" s="76"/>
      <c r="DX15" s="76"/>
      <c r="DY15" s="76"/>
      <c r="DZ15" s="76"/>
      <c r="EA15" s="76"/>
      <c r="EB15" s="76"/>
      <c r="EC15" s="76"/>
      <c r="ED15" s="76"/>
      <c r="EE15" s="76"/>
      <c r="EF15" s="76"/>
      <c r="EG15" s="76"/>
      <c r="EH15" s="76"/>
      <c r="EI15" s="76"/>
      <c r="EJ15" s="76"/>
      <c r="EK15" s="76"/>
      <c r="EL15" s="76"/>
      <c r="EM15" s="76"/>
      <c r="EN15" s="76"/>
      <c r="EO15" s="76"/>
      <c r="EP15" s="76"/>
      <c r="EQ15" s="76"/>
      <c r="ER15" s="76"/>
      <c r="ES15" s="76"/>
      <c r="ET15" s="76"/>
      <c r="EU15" s="76"/>
      <c r="EV15" s="76"/>
      <c r="EW15" s="76"/>
      <c r="EX15" s="76"/>
      <c r="EY15" s="76"/>
      <c r="EZ15" s="76"/>
      <c r="FA15" s="76"/>
      <c r="FB15" s="76"/>
      <c r="FC15" s="76"/>
      <c r="FD15" s="76"/>
      <c r="FE15" s="76"/>
      <c r="FF15" s="76"/>
      <c r="FG15" s="76"/>
      <c r="FH15" s="76"/>
      <c r="FI15" s="76"/>
      <c r="FJ15" s="76"/>
      <c r="FK15" s="76"/>
      <c r="FL15" s="76"/>
      <c r="FM15" s="76"/>
      <c r="FN15" s="76"/>
      <c r="FO15" s="76"/>
      <c r="FP15" s="76"/>
      <c r="FQ15" s="76"/>
      <c r="FR15" s="76"/>
      <c r="FS15" s="76"/>
      <c r="FT15" s="76"/>
      <c r="FU15" s="76"/>
      <c r="FV15" s="76"/>
      <c r="FW15" s="76"/>
      <c r="FX15" s="76"/>
      <c r="FY15" s="76"/>
      <c r="FZ15" s="76"/>
      <c r="GA15" s="76"/>
      <c r="GB15" s="76"/>
      <c r="GC15" s="76"/>
      <c r="GD15" s="76"/>
      <c r="GE15" s="76"/>
      <c r="GF15" s="76"/>
      <c r="GG15" s="76"/>
      <c r="GH15" s="76"/>
      <c r="GI15" s="76"/>
      <c r="GJ15" s="76"/>
      <c r="GK15" s="76"/>
      <c r="GL15" s="76"/>
      <c r="GM15" s="76"/>
      <c r="GN15" s="76"/>
      <c r="GO15" s="76"/>
      <c r="GP15" s="76"/>
      <c r="GQ15" s="76"/>
      <c r="GR15" s="76"/>
      <c r="GS15" s="76"/>
      <c r="GT15" s="76"/>
      <c r="GU15" s="76"/>
      <c r="GV15" s="76"/>
      <c r="GW15" s="76"/>
      <c r="GX15" s="76"/>
      <c r="GY15" s="76"/>
      <c r="GZ15" s="76"/>
      <c r="HA15" s="76"/>
      <c r="HB15" s="76"/>
      <c r="HC15" s="76"/>
      <c r="HD15" s="76"/>
      <c r="HE15" s="76"/>
      <c r="HF15" s="76"/>
      <c r="HG15" s="76"/>
      <c r="HH15" s="76"/>
      <c r="HI15" s="76"/>
      <c r="HJ15" s="76"/>
      <c r="HK15" s="76"/>
      <c r="HL15" s="76"/>
      <c r="HM15" s="76"/>
      <c r="HN15" s="76"/>
      <c r="HO15" s="76"/>
      <c r="HP15" s="76"/>
      <c r="HQ15" s="76"/>
      <c r="HR15" s="76"/>
      <c r="HS15" s="76"/>
      <c r="HT15" s="76"/>
      <c r="HU15" s="76"/>
      <c r="HV15" s="76"/>
      <c r="HW15" s="76"/>
      <c r="HX15" s="76"/>
      <c r="HY15" s="76"/>
      <c r="HZ15" s="76"/>
      <c r="IA15" s="76"/>
      <c r="IB15" s="76"/>
      <c r="IC15" s="76"/>
      <c r="ID15" s="76"/>
      <c r="IE15" s="76"/>
      <c r="IF15" s="76"/>
      <c r="IG15" s="76"/>
      <c r="IH15" s="76"/>
      <c r="II15" s="76"/>
      <c r="IJ15" s="76"/>
      <c r="IK15" s="76"/>
      <c r="IL15" s="76"/>
      <c r="IM15" s="76"/>
      <c r="IN15" s="76"/>
      <c r="IO15" s="76"/>
      <c r="IP15" s="76"/>
      <c r="IQ15" s="76"/>
      <c r="IR15" s="76"/>
      <c r="IS15" s="76"/>
      <c r="IT15" s="76"/>
      <c r="IU15" s="76"/>
      <c r="IV15" s="76"/>
      <c r="IW15" s="76"/>
      <c r="IX15" s="76"/>
      <c r="IY15" s="76"/>
      <c r="IZ15" s="76"/>
      <c r="JA15" s="76"/>
      <c r="JB15" s="76"/>
    </row>
    <row r="16" spans="1:262" s="33" customFormat="1" ht="41" customHeight="1" x14ac:dyDescent="0.25">
      <c r="A16" s="32"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6" s="93" t="s">
        <v>140</v>
      </c>
      <c r="C16" s="97" t="s">
        <v>137</v>
      </c>
      <c r="D16" s="39" t="s">
        <v>153</v>
      </c>
      <c r="E16" s="95">
        <v>45950</v>
      </c>
      <c r="F16" s="123">
        <v>45971</v>
      </c>
      <c r="G16" s="124">
        <v>24</v>
      </c>
      <c r="H16" s="148">
        <v>1</v>
      </c>
      <c r="I16" s="125">
        <f t="shared" si="205"/>
        <v>16</v>
      </c>
      <c r="J16" s="34"/>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32"/>
      <c r="GR16" s="32"/>
      <c r="GS16" s="32"/>
      <c r="GT16" s="32"/>
      <c r="GU16" s="32"/>
      <c r="GV16" s="32"/>
      <c r="GW16" s="32"/>
      <c r="GX16" s="32"/>
      <c r="GY16" s="32"/>
      <c r="GZ16" s="32"/>
      <c r="HA16" s="32"/>
      <c r="HB16" s="32"/>
      <c r="HC16" s="32"/>
      <c r="HD16" s="32"/>
      <c r="HE16" s="32"/>
      <c r="HF16" s="32"/>
      <c r="HG16" s="32"/>
      <c r="HH16" s="32"/>
      <c r="HI16" s="32"/>
      <c r="HJ16" s="32"/>
      <c r="HK16" s="32"/>
      <c r="HL16" s="32"/>
      <c r="HM16" s="32"/>
      <c r="HN16" s="32"/>
      <c r="HO16" s="32"/>
      <c r="HP16" s="32"/>
      <c r="HQ16" s="32"/>
      <c r="HR16" s="32"/>
      <c r="HS16" s="32"/>
      <c r="HT16" s="32"/>
      <c r="HU16" s="32"/>
      <c r="HV16" s="32"/>
      <c r="HW16" s="32"/>
      <c r="HX16" s="32"/>
      <c r="HY16" s="32"/>
      <c r="HZ16" s="32"/>
      <c r="IA16" s="32"/>
      <c r="IB16" s="32"/>
      <c r="IC16" s="32"/>
      <c r="ID16" s="32"/>
      <c r="IE16" s="32"/>
      <c r="IF16" s="32"/>
      <c r="IG16" s="32"/>
      <c r="IH16" s="32"/>
      <c r="II16" s="32"/>
      <c r="IJ16" s="32"/>
      <c r="IK16" s="32"/>
      <c r="IL16" s="32"/>
      <c r="IM16" s="32"/>
      <c r="IN16" s="32"/>
      <c r="IO16" s="32"/>
      <c r="IP16" s="32"/>
      <c r="IQ16" s="32"/>
      <c r="IR16" s="32"/>
      <c r="IS16" s="32"/>
      <c r="IT16" s="32"/>
      <c r="IU16" s="32"/>
      <c r="IV16" s="32"/>
      <c r="IW16" s="32"/>
      <c r="IX16" s="32"/>
      <c r="IY16" s="32"/>
      <c r="IZ16" s="32"/>
      <c r="JA16" s="32"/>
      <c r="JB16" s="32"/>
    </row>
    <row r="17" spans="1:263" s="33" customFormat="1" ht="40" customHeight="1" x14ac:dyDescent="0.25">
      <c r="A17" s="32"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17" s="93" t="s">
        <v>141</v>
      </c>
      <c r="C17" s="97" t="s">
        <v>139</v>
      </c>
      <c r="D17" s="39" t="s">
        <v>153</v>
      </c>
      <c r="E17" s="95">
        <v>45950</v>
      </c>
      <c r="F17" s="123">
        <v>45971</v>
      </c>
      <c r="G17" s="124">
        <v>24</v>
      </c>
      <c r="H17" s="126">
        <v>1</v>
      </c>
      <c r="I17" s="125">
        <f t="shared" si="205"/>
        <v>16</v>
      </c>
      <c r="J17" s="34"/>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32"/>
      <c r="GR17" s="32"/>
      <c r="GS17" s="32"/>
      <c r="GT17" s="32"/>
      <c r="GU17" s="32"/>
      <c r="GV17" s="32"/>
      <c r="GW17" s="32"/>
      <c r="GX17" s="32"/>
      <c r="GY17" s="32"/>
      <c r="GZ17" s="32"/>
      <c r="HA17" s="32"/>
      <c r="HB17" s="32"/>
      <c r="HC17" s="32"/>
      <c r="HD17" s="32"/>
      <c r="HE17" s="32"/>
      <c r="HF17" s="32"/>
      <c r="HG17" s="32"/>
      <c r="HH17" s="32"/>
      <c r="HI17" s="32"/>
      <c r="HJ17" s="32"/>
      <c r="HK17" s="32"/>
      <c r="HL17" s="32"/>
      <c r="HM17" s="32"/>
      <c r="HN17" s="32"/>
      <c r="HO17" s="32"/>
      <c r="HP17" s="32"/>
      <c r="HQ17" s="32"/>
      <c r="HR17" s="32"/>
      <c r="HS17" s="32"/>
      <c r="HT17" s="32"/>
      <c r="HU17" s="32"/>
      <c r="HV17" s="32"/>
      <c r="HW17" s="32"/>
      <c r="HX17" s="32"/>
      <c r="HY17" s="32"/>
      <c r="HZ17" s="32"/>
      <c r="IA17" s="32"/>
      <c r="IB17" s="32"/>
      <c r="IC17" s="32"/>
      <c r="ID17" s="32"/>
      <c r="IE17" s="32"/>
      <c r="IF17" s="32"/>
      <c r="IG17" s="32"/>
      <c r="IH17" s="32"/>
      <c r="II17" s="32"/>
      <c r="IJ17" s="32"/>
      <c r="IK17" s="32"/>
      <c r="IL17" s="32"/>
      <c r="IM17" s="32"/>
      <c r="IN17" s="32"/>
      <c r="IO17" s="32"/>
      <c r="IP17" s="32"/>
      <c r="IQ17" s="32"/>
      <c r="IR17" s="32"/>
      <c r="IS17" s="32"/>
      <c r="IT17" s="32"/>
      <c r="IU17" s="32"/>
      <c r="IV17" s="32"/>
      <c r="IW17" s="32"/>
      <c r="IX17" s="32"/>
      <c r="IY17" s="32"/>
      <c r="IZ17" s="32"/>
      <c r="JA17" s="32"/>
      <c r="JB17" s="32"/>
    </row>
    <row r="18" spans="1:263" s="69" customFormat="1" ht="46" customHeight="1" x14ac:dyDescent="0.25">
      <c r="A18" s="68" t="str">
        <f>IF(ISERROR(VALUE(SUBSTITUTE(prevWBS,".",""))),"1",IF(ISERROR(FIND("`",SUBSTITUTE(prevWBS,".","`",1))),TEXT(VALUE(prevWBS)+1,"#"),TEXT(VALUE(LEFT(prevWBS,FIND("`",SUBSTITUTE(prevWBS,".","`",1))-1))+1,"#")))</f>
        <v>3</v>
      </c>
      <c r="B18" s="105" t="s">
        <v>155</v>
      </c>
      <c r="D18" s="70"/>
      <c r="E18" s="71"/>
      <c r="F18" s="71" t="str">
        <f t="shared" si="207"/>
        <v xml:space="preserve"> - </v>
      </c>
      <c r="G18" s="72"/>
      <c r="H18" s="73"/>
      <c r="I18" s="74" t="str">
        <f t="shared" si="205"/>
        <v xml:space="preserve"> - </v>
      </c>
      <c r="J18" s="75"/>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6"/>
      <c r="BD18" s="76"/>
      <c r="BE18" s="76"/>
      <c r="BF18" s="76"/>
      <c r="BG18" s="76"/>
      <c r="BH18" s="76"/>
      <c r="BI18" s="76"/>
      <c r="BJ18" s="76"/>
      <c r="BK18" s="76"/>
      <c r="BL18" s="76"/>
      <c r="BM18" s="76"/>
      <c r="BN18" s="76"/>
      <c r="BO18" s="76"/>
      <c r="BP18" s="76"/>
      <c r="BQ18" s="76"/>
      <c r="BR18" s="76"/>
      <c r="BS18" s="76"/>
      <c r="BT18" s="76"/>
      <c r="BU18" s="76"/>
      <c r="BV18" s="76"/>
      <c r="BW18" s="76"/>
      <c r="BX18" s="76"/>
      <c r="BY18" s="76"/>
      <c r="BZ18" s="76"/>
      <c r="CA18" s="76"/>
      <c r="CB18" s="76"/>
      <c r="CC18" s="76"/>
      <c r="CD18" s="76"/>
      <c r="CE18" s="76"/>
      <c r="CF18" s="76"/>
      <c r="CG18" s="76"/>
      <c r="CH18" s="76"/>
      <c r="CI18" s="76"/>
      <c r="CJ18" s="76"/>
      <c r="CK18" s="76"/>
      <c r="CL18" s="76"/>
      <c r="CM18" s="76"/>
      <c r="CN18" s="76"/>
      <c r="CO18" s="76"/>
      <c r="CP18" s="76"/>
      <c r="CQ18" s="76"/>
      <c r="CR18" s="76"/>
      <c r="CS18" s="76"/>
      <c r="CT18" s="76"/>
      <c r="CU18" s="76"/>
      <c r="CV18" s="76"/>
      <c r="CW18" s="76"/>
      <c r="CX18" s="76"/>
      <c r="CY18" s="76"/>
      <c r="CZ18" s="76"/>
      <c r="DA18" s="76"/>
      <c r="DB18" s="76"/>
      <c r="DC18" s="76"/>
      <c r="DD18" s="76"/>
      <c r="DE18" s="76"/>
      <c r="DF18" s="76"/>
      <c r="DG18" s="76"/>
      <c r="DH18" s="76"/>
      <c r="DI18" s="76"/>
      <c r="DJ18" s="76"/>
      <c r="DK18" s="76"/>
      <c r="DL18" s="76"/>
      <c r="DM18" s="76"/>
      <c r="DN18" s="76"/>
      <c r="DO18" s="76"/>
      <c r="DP18" s="76"/>
      <c r="DQ18" s="76"/>
      <c r="DR18" s="76"/>
      <c r="DS18" s="76"/>
      <c r="DT18" s="76"/>
      <c r="DU18" s="76"/>
      <c r="DV18" s="76"/>
      <c r="DW18" s="76"/>
      <c r="DX18" s="76"/>
      <c r="DY18" s="76"/>
      <c r="DZ18" s="76"/>
      <c r="EA18" s="76"/>
      <c r="EB18" s="76"/>
      <c r="EC18" s="76"/>
      <c r="ED18" s="76"/>
      <c r="EE18" s="76"/>
      <c r="EF18" s="76"/>
      <c r="EG18" s="76"/>
      <c r="EH18" s="76"/>
      <c r="EI18" s="76"/>
      <c r="EJ18" s="76"/>
      <c r="EK18" s="76"/>
      <c r="EL18" s="76"/>
      <c r="EM18" s="76"/>
      <c r="EN18" s="76"/>
      <c r="EO18" s="76"/>
      <c r="EP18" s="76"/>
      <c r="EQ18" s="76"/>
      <c r="ER18" s="76"/>
      <c r="ES18" s="76"/>
      <c r="ET18" s="76"/>
      <c r="EU18" s="76"/>
      <c r="EV18" s="76"/>
      <c r="EW18" s="76"/>
      <c r="EX18" s="76"/>
      <c r="EY18" s="76"/>
      <c r="EZ18" s="76"/>
      <c r="FA18" s="76"/>
      <c r="FB18" s="76"/>
      <c r="FC18" s="76"/>
      <c r="FD18" s="76"/>
      <c r="FE18" s="76"/>
      <c r="FF18" s="76"/>
      <c r="FG18" s="76"/>
      <c r="FH18" s="76"/>
      <c r="FI18" s="76"/>
      <c r="FJ18" s="76"/>
      <c r="FK18" s="76"/>
      <c r="FL18" s="76"/>
      <c r="FM18" s="76"/>
      <c r="FN18" s="76"/>
      <c r="FO18" s="76"/>
      <c r="FP18" s="76"/>
      <c r="FQ18" s="76"/>
      <c r="FR18" s="76"/>
      <c r="FS18" s="76"/>
      <c r="FT18" s="76"/>
      <c r="FU18" s="76"/>
      <c r="FV18" s="76"/>
      <c r="FW18" s="76"/>
      <c r="FX18" s="76"/>
      <c r="FY18" s="76"/>
      <c r="FZ18" s="76"/>
      <c r="GA18" s="76"/>
      <c r="GB18" s="76"/>
      <c r="GC18" s="76"/>
      <c r="GD18" s="76"/>
      <c r="GE18" s="76"/>
      <c r="GF18" s="76"/>
      <c r="GG18" s="76"/>
      <c r="GH18" s="76"/>
      <c r="GI18" s="76"/>
      <c r="GJ18" s="76"/>
      <c r="GK18" s="76"/>
      <c r="GL18" s="76"/>
      <c r="GM18" s="76"/>
      <c r="GN18" s="76"/>
      <c r="GO18" s="76"/>
      <c r="GP18" s="76"/>
      <c r="GQ18" s="76"/>
      <c r="GR18" s="76"/>
      <c r="GS18" s="76"/>
      <c r="GT18" s="76"/>
      <c r="GU18" s="76"/>
      <c r="GV18" s="76"/>
      <c r="GW18" s="76"/>
      <c r="GX18" s="76"/>
      <c r="GY18" s="76"/>
      <c r="GZ18" s="76"/>
      <c r="HA18" s="76"/>
      <c r="HB18" s="76"/>
      <c r="HC18" s="76"/>
      <c r="HD18" s="76"/>
      <c r="HE18" s="76"/>
      <c r="HF18" s="76"/>
      <c r="HG18" s="76"/>
      <c r="HH18" s="76"/>
      <c r="HI18" s="76"/>
      <c r="HJ18" s="76"/>
      <c r="HK18" s="76"/>
      <c r="HL18" s="76"/>
      <c r="HM18" s="76"/>
      <c r="HN18" s="76"/>
      <c r="HO18" s="76"/>
      <c r="HP18" s="76"/>
      <c r="HQ18" s="76"/>
      <c r="HR18" s="76"/>
      <c r="HS18" s="76"/>
      <c r="HT18" s="76"/>
      <c r="HU18" s="76"/>
      <c r="HV18" s="76"/>
      <c r="HW18" s="76"/>
      <c r="HX18" s="76"/>
      <c r="HY18" s="76"/>
      <c r="HZ18" s="76"/>
      <c r="IA18" s="76"/>
      <c r="IB18" s="76"/>
      <c r="IC18" s="76"/>
      <c r="ID18" s="76"/>
      <c r="IE18" s="76"/>
      <c r="IF18" s="76"/>
      <c r="IG18" s="76"/>
      <c r="IH18" s="76"/>
      <c r="II18" s="76"/>
      <c r="IJ18" s="76"/>
      <c r="IK18" s="76"/>
      <c r="IL18" s="76"/>
      <c r="IM18" s="76"/>
      <c r="IN18" s="76"/>
      <c r="IO18" s="76"/>
      <c r="IP18" s="76"/>
      <c r="IQ18" s="76"/>
      <c r="IR18" s="76"/>
      <c r="IS18" s="76"/>
      <c r="IT18" s="76"/>
      <c r="IU18" s="76"/>
      <c r="IV18" s="76"/>
      <c r="IW18" s="76"/>
      <c r="IX18" s="76"/>
      <c r="IY18" s="76"/>
      <c r="IZ18" s="76"/>
      <c r="JA18" s="76"/>
      <c r="JB18" s="76"/>
    </row>
    <row r="19" spans="1:263" s="33" customFormat="1" ht="39.5" customHeight="1" x14ac:dyDescent="0.25">
      <c r="A19" s="32">
        <v>3.1</v>
      </c>
      <c r="B19" s="93" t="s">
        <v>143</v>
      </c>
      <c r="C19" s="97" t="s">
        <v>133</v>
      </c>
      <c r="D19" s="39" t="s">
        <v>153</v>
      </c>
      <c r="E19" s="95">
        <v>45950</v>
      </c>
      <c r="F19" s="123">
        <v>46006</v>
      </c>
      <c r="G19" s="124">
        <v>59</v>
      </c>
      <c r="H19" s="126">
        <v>1</v>
      </c>
      <c r="I19" s="125">
        <f>IF(OR(F19=0,E19=0)," - ",NETWORKDAYS(E19,F19))</f>
        <v>41</v>
      </c>
      <c r="J19" s="34"/>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117"/>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32"/>
      <c r="GR19" s="32"/>
      <c r="GS19" s="32"/>
      <c r="GT19" s="32"/>
      <c r="GU19" s="32"/>
      <c r="GV19" s="32"/>
      <c r="GW19" s="32"/>
      <c r="GX19" s="32"/>
      <c r="GY19" s="32"/>
      <c r="GZ19" s="32"/>
      <c r="HA19" s="32"/>
      <c r="HB19" s="32"/>
      <c r="HC19" s="32"/>
      <c r="HD19" s="32"/>
      <c r="HE19" s="32"/>
      <c r="HF19" s="32"/>
      <c r="HG19" s="32"/>
      <c r="HH19" s="32"/>
      <c r="HI19" s="32"/>
      <c r="HJ19" s="32"/>
      <c r="HK19" s="32"/>
      <c r="HL19" s="32"/>
      <c r="HM19" s="32"/>
      <c r="HN19" s="32"/>
      <c r="HO19" s="32"/>
      <c r="HP19" s="32"/>
      <c r="HQ19" s="32"/>
      <c r="HR19" s="32"/>
      <c r="HS19" s="32"/>
      <c r="HT19" s="32"/>
      <c r="HU19" s="32"/>
      <c r="HV19" s="32"/>
      <c r="HW19" s="32"/>
      <c r="HX19" s="32"/>
      <c r="HY19" s="32"/>
      <c r="HZ19" s="32"/>
      <c r="IA19" s="32"/>
      <c r="IB19" s="32"/>
      <c r="IC19" s="32"/>
      <c r="ID19" s="32"/>
      <c r="IE19" s="32"/>
      <c r="IF19" s="32"/>
      <c r="IG19" s="32"/>
      <c r="IH19" s="32"/>
      <c r="II19" s="32"/>
      <c r="IJ19" s="32"/>
      <c r="IK19" s="32"/>
      <c r="IL19" s="32"/>
      <c r="IM19" s="32"/>
      <c r="IN19" s="32"/>
      <c r="IO19" s="32"/>
      <c r="IP19" s="32"/>
      <c r="IQ19" s="32"/>
      <c r="IR19" s="32"/>
      <c r="IS19" s="32"/>
      <c r="IT19" s="32"/>
      <c r="IU19" s="32"/>
      <c r="IV19" s="32"/>
      <c r="IW19" s="32"/>
      <c r="IX19" s="32"/>
      <c r="IY19" s="32"/>
      <c r="IZ19" s="32"/>
      <c r="JA19" s="32"/>
      <c r="JB19" s="32"/>
    </row>
    <row r="20" spans="1:263" s="69" customFormat="1" ht="45.5" customHeight="1" x14ac:dyDescent="0.25">
      <c r="A20" s="68" t="str">
        <f>IF(ISERROR(VALUE(SUBSTITUTE(prevWBS,".",""))),"1",IF(ISERROR(FIND("`",SUBSTITUTE(prevWBS,".","`",1))),TEXT(VALUE(prevWBS)+1,"#"),TEXT(VALUE(LEFT(prevWBS,FIND("`",SUBSTITUTE(prevWBS,".","`",1))-1))+1,"#")))</f>
        <v>4</v>
      </c>
      <c r="B20" s="105" t="s">
        <v>156</v>
      </c>
      <c r="D20" s="70"/>
      <c r="E20" s="71"/>
      <c r="F20" s="71" t="str">
        <f t="shared" si="207"/>
        <v xml:space="preserve"> - </v>
      </c>
      <c r="G20" s="72"/>
      <c r="H20" s="73"/>
      <c r="I20" s="74" t="str">
        <f t="shared" si="205"/>
        <v xml:space="preserve"> - </v>
      </c>
      <c r="J20" s="75"/>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6"/>
      <c r="BD20" s="76"/>
      <c r="BE20" s="76"/>
      <c r="BF20" s="76"/>
      <c r="BG20" s="76"/>
      <c r="BH20" s="76"/>
      <c r="BI20" s="76"/>
      <c r="BJ20" s="76"/>
      <c r="BK20" s="76"/>
      <c r="BL20" s="76"/>
      <c r="BM20" s="76"/>
      <c r="BN20" s="76"/>
      <c r="BO20" s="76"/>
      <c r="BP20" s="76"/>
      <c r="BQ20" s="76"/>
      <c r="BR20" s="76"/>
      <c r="BS20" s="76"/>
      <c r="BT20" s="76"/>
      <c r="BU20" s="76"/>
      <c r="BV20" s="76"/>
      <c r="BW20" s="76"/>
      <c r="BX20" s="76"/>
      <c r="BY20" s="76"/>
      <c r="BZ20" s="76"/>
      <c r="CA20" s="76"/>
      <c r="CB20" s="76"/>
      <c r="CC20" s="76"/>
      <c r="CD20" s="76"/>
      <c r="CE20" s="76"/>
      <c r="CF20" s="76"/>
      <c r="CG20" s="76"/>
      <c r="CH20" s="76"/>
      <c r="CI20" s="76"/>
      <c r="CJ20" s="76"/>
      <c r="CK20" s="76"/>
      <c r="CL20" s="76"/>
      <c r="CM20" s="76"/>
      <c r="CN20" s="76"/>
      <c r="CO20" s="76"/>
      <c r="CP20" s="76"/>
      <c r="CQ20" s="76"/>
      <c r="CR20" s="76"/>
      <c r="CS20" s="76"/>
      <c r="CT20" s="76"/>
      <c r="CU20" s="76"/>
      <c r="CV20" s="76"/>
      <c r="CW20" s="76"/>
      <c r="CX20" s="76"/>
      <c r="CY20" s="76"/>
      <c r="CZ20" s="76"/>
      <c r="DA20" s="76"/>
      <c r="DB20" s="76"/>
      <c r="DC20" s="76"/>
      <c r="DD20" s="76"/>
      <c r="DE20" s="76"/>
      <c r="DF20" s="76"/>
      <c r="DG20" s="76"/>
      <c r="DH20" s="76"/>
      <c r="DI20" s="76"/>
      <c r="DJ20" s="76"/>
      <c r="DK20" s="76"/>
      <c r="DL20" s="76"/>
      <c r="DM20" s="76"/>
      <c r="DN20" s="76"/>
      <c r="DO20" s="76"/>
      <c r="DP20" s="76"/>
      <c r="DQ20" s="76"/>
      <c r="DR20" s="76"/>
      <c r="DS20" s="76"/>
      <c r="DT20" s="76"/>
      <c r="DU20" s="76"/>
      <c r="DV20" s="76"/>
      <c r="DW20" s="76"/>
      <c r="DX20" s="76"/>
      <c r="DY20" s="76"/>
      <c r="DZ20" s="76"/>
      <c r="EA20" s="76"/>
      <c r="EB20" s="76"/>
      <c r="EC20" s="76"/>
      <c r="ED20" s="76"/>
      <c r="EE20" s="76"/>
      <c r="EF20" s="76"/>
      <c r="EG20" s="76"/>
      <c r="EH20" s="76"/>
      <c r="EI20" s="76"/>
      <c r="EJ20" s="76"/>
      <c r="EK20" s="76"/>
      <c r="EL20" s="76"/>
      <c r="EM20" s="76"/>
      <c r="EN20" s="76"/>
      <c r="EO20" s="76"/>
      <c r="EP20" s="76"/>
      <c r="EQ20" s="76"/>
      <c r="ER20" s="76"/>
      <c r="ES20" s="76"/>
      <c r="ET20" s="76"/>
      <c r="EU20" s="76"/>
      <c r="EV20" s="76"/>
      <c r="EW20" s="76"/>
      <c r="EX20" s="76"/>
      <c r="EY20" s="76"/>
      <c r="EZ20" s="76"/>
      <c r="FA20" s="76"/>
      <c r="FB20" s="76"/>
      <c r="FC20" s="76"/>
      <c r="FD20" s="76"/>
      <c r="FE20" s="76"/>
      <c r="FF20" s="76"/>
      <c r="FG20" s="76"/>
      <c r="FH20" s="76"/>
      <c r="FI20" s="76"/>
      <c r="FJ20" s="76"/>
      <c r="FK20" s="76"/>
      <c r="FL20" s="76"/>
      <c r="FM20" s="76"/>
      <c r="FN20" s="76"/>
      <c r="FO20" s="76"/>
      <c r="FP20" s="76"/>
      <c r="FQ20" s="76"/>
      <c r="FR20" s="76"/>
      <c r="FS20" s="76"/>
      <c r="FT20" s="76"/>
      <c r="FU20" s="76"/>
      <c r="FV20" s="76"/>
      <c r="FW20" s="76"/>
      <c r="FX20" s="76"/>
      <c r="FY20" s="76"/>
      <c r="FZ20" s="76"/>
      <c r="GA20" s="76"/>
      <c r="GB20" s="76"/>
      <c r="GC20" s="76"/>
      <c r="GD20" s="76"/>
      <c r="GE20" s="76"/>
      <c r="GF20" s="76"/>
      <c r="GG20" s="76"/>
      <c r="GH20" s="76"/>
      <c r="GI20" s="76"/>
      <c r="GJ20" s="76"/>
      <c r="GK20" s="76"/>
      <c r="GL20" s="76"/>
      <c r="GM20" s="76"/>
      <c r="GN20" s="76"/>
      <c r="GO20" s="76"/>
      <c r="GP20" s="76"/>
      <c r="GQ20" s="76"/>
      <c r="GR20" s="76"/>
      <c r="GS20" s="76"/>
      <c r="GT20" s="76"/>
      <c r="GU20" s="76"/>
      <c r="GV20" s="76"/>
      <c r="GW20" s="76"/>
      <c r="GX20" s="76"/>
      <c r="GY20" s="76"/>
      <c r="GZ20" s="76"/>
      <c r="HA20" s="76"/>
      <c r="HB20" s="76"/>
      <c r="HC20" s="76"/>
      <c r="HD20" s="76"/>
      <c r="HE20" s="76"/>
      <c r="HF20" s="76"/>
      <c r="HG20" s="76"/>
      <c r="HH20" s="76"/>
      <c r="HI20" s="76"/>
      <c r="HJ20" s="76"/>
      <c r="HK20" s="76"/>
      <c r="HL20" s="76"/>
      <c r="HM20" s="76"/>
      <c r="HN20" s="76"/>
      <c r="HO20" s="76"/>
      <c r="HP20" s="76"/>
      <c r="HQ20" s="76"/>
      <c r="HR20" s="76"/>
      <c r="HS20" s="76"/>
      <c r="HT20" s="76"/>
      <c r="HU20" s="76"/>
      <c r="HV20" s="76"/>
      <c r="HW20" s="76"/>
      <c r="HX20" s="76"/>
      <c r="HY20" s="76"/>
      <c r="HZ20" s="76"/>
      <c r="IA20" s="76"/>
      <c r="IB20" s="76"/>
      <c r="IC20" s="76"/>
      <c r="ID20" s="76"/>
      <c r="IE20" s="76"/>
      <c r="IF20" s="76"/>
      <c r="IG20" s="76"/>
      <c r="IH20" s="76"/>
      <c r="II20" s="76"/>
      <c r="IJ20" s="76"/>
      <c r="IK20" s="76"/>
      <c r="IL20" s="76"/>
      <c r="IM20" s="76"/>
      <c r="IN20" s="76"/>
      <c r="IO20" s="76"/>
      <c r="IP20" s="76"/>
      <c r="IQ20" s="76"/>
      <c r="IR20" s="76"/>
      <c r="IS20" s="76"/>
      <c r="IT20" s="76"/>
      <c r="IU20" s="76"/>
      <c r="IV20" s="76"/>
      <c r="IW20" s="76"/>
      <c r="IX20" s="76"/>
      <c r="IY20" s="76"/>
      <c r="IZ20" s="76"/>
      <c r="JA20" s="76"/>
      <c r="JB20" s="76"/>
    </row>
    <row r="21" spans="1:263" s="33" customFormat="1" ht="40" customHeight="1" x14ac:dyDescent="0.25">
      <c r="A21" s="32"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1" s="93" t="s">
        <v>157</v>
      </c>
      <c r="C21" s="97" t="s">
        <v>136</v>
      </c>
      <c r="D21" s="39" t="s">
        <v>153</v>
      </c>
      <c r="E21" s="95">
        <v>45957</v>
      </c>
      <c r="F21" s="123">
        <v>46001</v>
      </c>
      <c r="G21" s="124">
        <v>47</v>
      </c>
      <c r="H21" s="114">
        <v>1</v>
      </c>
      <c r="I21" s="125">
        <f t="shared" si="205"/>
        <v>33</v>
      </c>
      <c r="J21" s="34"/>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32"/>
      <c r="GR21" s="32"/>
      <c r="GS21" s="32"/>
      <c r="GT21" s="32"/>
      <c r="GU21" s="32"/>
      <c r="GV21" s="32"/>
      <c r="GW21" s="32"/>
      <c r="GX21" s="32"/>
      <c r="GY21" s="32"/>
      <c r="GZ21" s="32"/>
      <c r="HA21" s="32"/>
      <c r="HB21" s="32"/>
      <c r="HC21" s="32"/>
      <c r="HD21" s="32"/>
      <c r="HE21" s="32"/>
      <c r="HF21" s="32"/>
      <c r="HG21" s="32"/>
      <c r="HH21" s="32"/>
      <c r="HI21" s="32"/>
      <c r="HJ21" s="32"/>
      <c r="HK21" s="32"/>
      <c r="HL21" s="32"/>
      <c r="HM21" s="32"/>
      <c r="HN21" s="32"/>
      <c r="HO21" s="32"/>
      <c r="HP21" s="32"/>
      <c r="HQ21" s="32"/>
      <c r="HR21" s="32"/>
      <c r="HS21" s="32"/>
      <c r="HT21" s="32"/>
      <c r="HU21" s="32"/>
      <c r="HV21" s="32"/>
      <c r="HW21" s="32"/>
      <c r="HX21" s="32"/>
      <c r="HY21" s="32"/>
      <c r="HZ21" s="32"/>
      <c r="IA21" s="32"/>
      <c r="IB21" s="32"/>
      <c r="IC21" s="32"/>
      <c r="ID21" s="32"/>
      <c r="IE21" s="32"/>
      <c r="IF21" s="32"/>
      <c r="IG21" s="32"/>
      <c r="IH21" s="32"/>
      <c r="II21" s="32"/>
      <c r="IJ21" s="32"/>
      <c r="IK21" s="32"/>
      <c r="IL21" s="32"/>
      <c r="IM21" s="32"/>
      <c r="IN21" s="32"/>
      <c r="IO21" s="32"/>
      <c r="IP21" s="32"/>
      <c r="IQ21" s="32"/>
      <c r="IR21" s="32"/>
      <c r="IS21" s="32"/>
      <c r="IT21" s="32"/>
      <c r="IU21" s="32"/>
      <c r="IV21" s="32"/>
      <c r="IW21" s="32"/>
      <c r="IX21" s="32"/>
      <c r="IY21" s="32"/>
      <c r="IZ21" s="32"/>
      <c r="JA21" s="32"/>
      <c r="JB21" s="32"/>
    </row>
    <row r="22" spans="1:263" s="33" customFormat="1" ht="40" customHeight="1" x14ac:dyDescent="0.25">
      <c r="A22" s="32"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2" s="93" t="s">
        <v>157</v>
      </c>
      <c r="C22" s="97" t="s">
        <v>133</v>
      </c>
      <c r="D22" s="39" t="s">
        <v>153</v>
      </c>
      <c r="E22" s="95">
        <v>45957</v>
      </c>
      <c r="F22" s="123">
        <v>46001</v>
      </c>
      <c r="G22" s="124">
        <v>47</v>
      </c>
      <c r="H22" s="113">
        <v>1</v>
      </c>
      <c r="I22" s="125">
        <f t="shared" si="205"/>
        <v>33</v>
      </c>
      <c r="J22" s="34"/>
      <c r="K22" s="32"/>
      <c r="L22" s="111"/>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32"/>
      <c r="GR22" s="32"/>
      <c r="GS22" s="32"/>
      <c r="GT22" s="32"/>
      <c r="GU22" s="32"/>
      <c r="GV22" s="32"/>
      <c r="GW22" s="32"/>
      <c r="GX22" s="32"/>
      <c r="GY22" s="32"/>
      <c r="GZ22" s="32"/>
      <c r="HA22" s="32"/>
      <c r="HB22" s="32"/>
      <c r="HC22" s="32"/>
      <c r="HD22" s="32"/>
      <c r="HE22" s="32"/>
      <c r="HF22" s="32"/>
      <c r="HG22" s="32"/>
      <c r="HH22" s="32"/>
      <c r="HI22" s="32"/>
      <c r="HJ22" s="32"/>
      <c r="HK22" s="32"/>
      <c r="HL22" s="32"/>
      <c r="HM22" s="32"/>
      <c r="HN22" s="32"/>
      <c r="HO22" s="32"/>
      <c r="HP22" s="32"/>
      <c r="HQ22" s="32"/>
      <c r="HR22" s="32"/>
      <c r="HS22" s="32"/>
      <c r="HT22" s="32"/>
      <c r="HU22" s="32"/>
      <c r="HV22" s="32"/>
      <c r="HW22" s="32"/>
      <c r="HX22" s="32"/>
      <c r="HY22" s="32"/>
      <c r="HZ22" s="32"/>
      <c r="IA22" s="32"/>
      <c r="IB22" s="32"/>
      <c r="IC22" s="32"/>
      <c r="ID22" s="32"/>
      <c r="IE22" s="32"/>
      <c r="IF22" s="32"/>
      <c r="IG22" s="32"/>
      <c r="IH22" s="32"/>
      <c r="II22" s="32"/>
      <c r="IJ22" s="32"/>
      <c r="IK22" s="32"/>
      <c r="IL22" s="32"/>
      <c r="IM22" s="32"/>
      <c r="IN22" s="32"/>
      <c r="IO22" s="32"/>
      <c r="IP22" s="32"/>
      <c r="IQ22" s="32"/>
      <c r="IR22" s="32"/>
      <c r="IS22" s="32"/>
      <c r="IT22" s="32"/>
      <c r="IU22" s="32"/>
      <c r="IV22" s="32"/>
      <c r="IW22" s="32"/>
      <c r="IX22" s="32"/>
      <c r="IY22" s="32"/>
      <c r="IZ22" s="32"/>
      <c r="JA22" s="32"/>
      <c r="JB22" s="32"/>
    </row>
    <row r="23" spans="1:263" s="33" customFormat="1" ht="40.5" customHeight="1" x14ac:dyDescent="0.25">
      <c r="A23" s="32"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23" s="93" t="s">
        <v>157</v>
      </c>
      <c r="C23" s="97" t="s">
        <v>137</v>
      </c>
      <c r="D23" s="39" t="s">
        <v>153</v>
      </c>
      <c r="E23" s="95">
        <v>45957</v>
      </c>
      <c r="F23" s="123">
        <v>46001</v>
      </c>
      <c r="G23" s="124">
        <v>47</v>
      </c>
      <c r="H23" s="113">
        <v>1</v>
      </c>
      <c r="I23" s="125">
        <f t="shared" si="205"/>
        <v>33</v>
      </c>
      <c r="J23" s="34"/>
      <c r="K23" s="32"/>
      <c r="L23" s="32"/>
      <c r="M23" s="32"/>
      <c r="N23" s="32"/>
      <c r="O23" s="32"/>
      <c r="P23" s="32"/>
      <c r="Q23" s="32"/>
      <c r="R23" s="32"/>
      <c r="S23" s="32"/>
      <c r="T23" s="32"/>
      <c r="U23" s="32"/>
      <c r="V23" s="32"/>
      <c r="W23" s="32"/>
      <c r="X23" s="32"/>
      <c r="Y23" s="32"/>
      <c r="Z23" s="32"/>
      <c r="AA23" s="117"/>
      <c r="AB23" s="32"/>
      <c r="AC23" s="32"/>
      <c r="AD23" s="32"/>
      <c r="AE23" s="32"/>
      <c r="AF23" s="32"/>
      <c r="AG23" s="32"/>
      <c r="AH23" s="121"/>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32"/>
      <c r="GR23" s="32"/>
      <c r="GS23" s="32"/>
      <c r="GT23" s="32"/>
      <c r="GU23" s="32"/>
      <c r="GV23" s="32"/>
      <c r="GW23" s="32"/>
      <c r="GX23" s="32"/>
      <c r="GY23" s="32"/>
      <c r="GZ23" s="32"/>
      <c r="HA23" s="32"/>
      <c r="HB23" s="32"/>
      <c r="HC23" s="32"/>
      <c r="HD23" s="32"/>
      <c r="HE23" s="32"/>
      <c r="HF23" s="32"/>
      <c r="HG23" s="32"/>
      <c r="HH23" s="32"/>
      <c r="HI23" s="32"/>
      <c r="HJ23" s="32"/>
      <c r="HK23" s="32"/>
      <c r="HL23" s="32"/>
      <c r="HM23" s="32"/>
      <c r="HN23" s="32"/>
      <c r="HO23" s="32"/>
      <c r="HP23" s="32"/>
      <c r="HQ23" s="32"/>
      <c r="HR23" s="32"/>
      <c r="HS23" s="32"/>
      <c r="HT23" s="32"/>
      <c r="HU23" s="32"/>
      <c r="HV23" s="32"/>
      <c r="HW23" s="32"/>
      <c r="HX23" s="32"/>
      <c r="HY23" s="32"/>
      <c r="HZ23" s="32"/>
      <c r="IA23" s="32"/>
      <c r="IB23" s="32"/>
      <c r="IC23" s="32"/>
      <c r="ID23" s="32"/>
      <c r="IE23" s="32"/>
      <c r="IF23" s="32"/>
      <c r="IG23" s="32"/>
      <c r="IH23" s="32"/>
      <c r="II23" s="32"/>
      <c r="IJ23" s="32"/>
      <c r="IK23" s="32"/>
      <c r="IL23" s="32"/>
      <c r="IM23" s="32"/>
      <c r="IN23" s="32"/>
      <c r="IO23" s="32"/>
      <c r="IP23" s="32"/>
      <c r="IQ23" s="32"/>
      <c r="IR23" s="32"/>
      <c r="IS23" s="32"/>
      <c r="IT23" s="32"/>
      <c r="IU23" s="32"/>
      <c r="IV23" s="32"/>
      <c r="IW23" s="32"/>
      <c r="IX23" s="32"/>
      <c r="IY23" s="32"/>
      <c r="IZ23" s="32"/>
      <c r="JA23" s="32"/>
      <c r="JB23" s="32"/>
    </row>
    <row r="24" spans="1:263" s="33" customFormat="1" ht="40.5" customHeight="1" x14ac:dyDescent="0.25">
      <c r="A24" s="32"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24" s="93" t="s">
        <v>157</v>
      </c>
      <c r="C24" s="97" t="s">
        <v>138</v>
      </c>
      <c r="D24" s="39" t="s">
        <v>153</v>
      </c>
      <c r="E24" s="95">
        <v>45957</v>
      </c>
      <c r="F24" s="123">
        <v>46001</v>
      </c>
      <c r="G24" s="124">
        <v>47</v>
      </c>
      <c r="H24" s="113">
        <v>1</v>
      </c>
      <c r="I24" s="125">
        <f t="shared" si="205"/>
        <v>33</v>
      </c>
      <c r="J24" s="34"/>
      <c r="K24" s="32"/>
      <c r="L24" s="32"/>
      <c r="M24" s="32"/>
      <c r="N24" s="32"/>
      <c r="O24" s="32"/>
      <c r="P24" s="32"/>
      <c r="Q24" s="32"/>
      <c r="R24" s="12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32"/>
      <c r="GR24" s="32"/>
      <c r="GS24" s="32"/>
      <c r="GT24" s="32"/>
      <c r="GU24" s="32"/>
      <c r="GV24" s="32"/>
      <c r="GW24" s="32"/>
      <c r="GX24" s="32"/>
      <c r="GY24" s="32"/>
      <c r="GZ24" s="32"/>
      <c r="HA24" s="32"/>
      <c r="HB24" s="32"/>
      <c r="HC24" s="32"/>
      <c r="HD24" s="32"/>
      <c r="HE24" s="32"/>
      <c r="HF24" s="32"/>
      <c r="HG24" s="32"/>
      <c r="HH24" s="32"/>
      <c r="HI24" s="32"/>
      <c r="HJ24" s="32"/>
      <c r="HK24" s="32"/>
      <c r="HL24" s="32"/>
      <c r="HM24" s="32"/>
      <c r="HN24" s="32"/>
      <c r="HO24" s="32"/>
      <c r="HP24" s="32"/>
      <c r="HQ24" s="32"/>
      <c r="HR24" s="32"/>
      <c r="HS24" s="32"/>
      <c r="HT24" s="32"/>
      <c r="HU24" s="32"/>
      <c r="HV24" s="32"/>
      <c r="HW24" s="32"/>
      <c r="HX24" s="32"/>
      <c r="HY24" s="32"/>
      <c r="HZ24" s="32"/>
      <c r="IA24" s="32"/>
      <c r="IB24" s="32"/>
      <c r="IC24" s="32"/>
      <c r="ID24" s="32"/>
      <c r="IE24" s="32"/>
      <c r="IF24" s="32"/>
      <c r="IG24" s="32"/>
      <c r="IH24" s="32"/>
      <c r="II24" s="32"/>
      <c r="IJ24" s="32"/>
      <c r="IK24" s="32"/>
      <c r="IL24" s="32"/>
      <c r="IM24" s="32"/>
      <c r="IN24" s="32"/>
      <c r="IO24" s="32"/>
      <c r="IP24" s="32"/>
      <c r="IQ24" s="32"/>
      <c r="IR24" s="32"/>
      <c r="IS24" s="32"/>
      <c r="IT24" s="32"/>
      <c r="IU24" s="32"/>
      <c r="IV24" s="32"/>
      <c r="IW24" s="32"/>
      <c r="IX24" s="32"/>
      <c r="IY24" s="32"/>
      <c r="IZ24" s="32"/>
      <c r="JA24" s="32"/>
      <c r="JB24" s="32"/>
    </row>
    <row r="25" spans="1:263" s="33" customFormat="1" ht="40" customHeight="1" x14ac:dyDescent="0.25">
      <c r="A25" s="32"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4.5</v>
      </c>
      <c r="B25" s="93" t="s">
        <v>157</v>
      </c>
      <c r="C25" s="97" t="s">
        <v>139</v>
      </c>
      <c r="D25" s="39" t="s">
        <v>153</v>
      </c>
      <c r="E25" s="95">
        <v>45957</v>
      </c>
      <c r="F25" s="123">
        <v>46001</v>
      </c>
      <c r="G25" s="124">
        <v>47</v>
      </c>
      <c r="H25" s="113">
        <v>1</v>
      </c>
      <c r="I25" s="125">
        <f>IF(OR(F25=0,E25=0)," - ",NETWORKDAYS(E25,F25))</f>
        <v>33</v>
      </c>
      <c r="J25" s="34"/>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32"/>
      <c r="GR25" s="32"/>
      <c r="GS25" s="32"/>
      <c r="GT25" s="32"/>
      <c r="GU25" s="32"/>
      <c r="GV25" s="32"/>
      <c r="GW25" s="32"/>
      <c r="GX25" s="32"/>
      <c r="GY25" s="32"/>
      <c r="GZ25" s="32"/>
      <c r="HA25" s="32"/>
      <c r="HB25" s="32"/>
      <c r="HC25" s="32"/>
      <c r="HD25" s="32"/>
      <c r="HE25" s="32"/>
      <c r="HF25" s="32"/>
      <c r="HG25" s="32"/>
      <c r="HH25" s="32"/>
      <c r="HI25" s="32"/>
      <c r="HJ25" s="32"/>
      <c r="HK25" s="32"/>
      <c r="HL25" s="32"/>
      <c r="HM25" s="32"/>
      <c r="HN25" s="32"/>
      <c r="HO25" s="32"/>
      <c r="HP25" s="32"/>
      <c r="HQ25" s="32"/>
      <c r="HR25" s="32"/>
      <c r="HS25" s="32"/>
      <c r="HT25" s="32"/>
      <c r="HU25" s="32"/>
      <c r="HV25" s="32"/>
      <c r="HW25" s="32"/>
      <c r="HX25" s="32"/>
      <c r="HY25" s="32"/>
      <c r="HZ25" s="32"/>
      <c r="IA25" s="32"/>
      <c r="IB25" s="32"/>
      <c r="IC25" s="32"/>
      <c r="ID25" s="32"/>
      <c r="IE25" s="32"/>
      <c r="IF25" s="32"/>
      <c r="IG25" s="32"/>
      <c r="IH25" s="32"/>
      <c r="II25" s="32"/>
      <c r="IJ25" s="32"/>
      <c r="IK25" s="32"/>
      <c r="IL25" s="32"/>
      <c r="IM25" s="32"/>
      <c r="IN25" s="32"/>
      <c r="IO25" s="32"/>
      <c r="IP25" s="32"/>
      <c r="IQ25" s="32"/>
      <c r="IR25" s="32"/>
      <c r="IS25" s="32"/>
      <c r="IT25" s="32"/>
      <c r="IU25" s="32"/>
      <c r="IV25" s="32"/>
      <c r="IW25" s="32"/>
      <c r="IX25" s="32"/>
      <c r="IY25" s="32"/>
      <c r="IZ25" s="32"/>
      <c r="JA25" s="32"/>
      <c r="JB25" s="32"/>
    </row>
    <row r="26" spans="1:263" s="67" customFormat="1" ht="44.5" customHeight="1" x14ac:dyDescent="0.25">
      <c r="A26" s="149">
        <v>5</v>
      </c>
      <c r="B26" s="150" t="s">
        <v>144</v>
      </c>
      <c r="C26" s="151"/>
      <c r="D26" s="152"/>
      <c r="E26" s="153"/>
      <c r="F26" s="154"/>
      <c r="G26" s="155"/>
      <c r="H26" s="156"/>
      <c r="I26" s="127"/>
      <c r="J26" s="128"/>
      <c r="K26" s="129"/>
      <c r="L26" s="129"/>
      <c r="M26" s="129"/>
      <c r="N26" s="129"/>
      <c r="O26" s="129"/>
      <c r="P26" s="129"/>
      <c r="Q26" s="129"/>
      <c r="R26" s="129"/>
      <c r="S26" s="129"/>
      <c r="T26" s="129"/>
      <c r="U26" s="129"/>
      <c r="V26" s="129"/>
      <c r="W26" s="129"/>
      <c r="X26" s="129"/>
      <c r="Y26" s="129"/>
      <c r="Z26" s="129"/>
      <c r="AA26" s="129"/>
      <c r="AB26" s="129"/>
      <c r="AC26" s="129"/>
      <c r="AD26" s="129"/>
      <c r="AE26" s="129"/>
      <c r="AF26" s="129"/>
      <c r="AG26" s="129"/>
      <c r="AH26" s="129"/>
      <c r="AI26" s="129"/>
      <c r="AJ26" s="129"/>
      <c r="AK26" s="129"/>
      <c r="AL26" s="129"/>
      <c r="AM26" s="129"/>
      <c r="AN26" s="129"/>
      <c r="AO26" s="129"/>
      <c r="AP26" s="130"/>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29"/>
      <c r="BQ26" s="129"/>
      <c r="BR26" s="129"/>
      <c r="BS26" s="129"/>
      <c r="BT26" s="129"/>
      <c r="BU26" s="129"/>
      <c r="BV26" s="129"/>
      <c r="BW26" s="129"/>
      <c r="BX26" s="129"/>
      <c r="BY26" s="129"/>
      <c r="BZ26" s="129"/>
      <c r="CA26" s="129"/>
      <c r="CB26" s="129"/>
      <c r="CC26" s="129"/>
      <c r="CD26" s="129"/>
      <c r="CE26" s="129"/>
      <c r="CF26" s="129"/>
      <c r="CG26" s="129"/>
      <c r="CH26" s="129"/>
      <c r="CI26" s="129"/>
      <c r="CJ26" s="129"/>
      <c r="CK26" s="129"/>
      <c r="CL26" s="129"/>
      <c r="CM26" s="129"/>
      <c r="CN26" s="129"/>
      <c r="CO26" s="129"/>
      <c r="CP26" s="129"/>
      <c r="CQ26" s="129"/>
      <c r="CR26" s="129"/>
      <c r="CS26" s="129"/>
      <c r="CT26" s="129"/>
      <c r="CU26" s="129"/>
      <c r="CV26" s="129"/>
      <c r="CW26" s="129"/>
      <c r="CX26" s="129"/>
      <c r="CY26" s="129"/>
      <c r="CZ26" s="129"/>
      <c r="DA26" s="129"/>
      <c r="DB26" s="129"/>
      <c r="DC26" s="129"/>
      <c r="DD26" s="129"/>
      <c r="DE26" s="129"/>
      <c r="DF26" s="129"/>
      <c r="DG26" s="129"/>
      <c r="DH26" s="129"/>
      <c r="DI26" s="129"/>
      <c r="DJ26" s="129"/>
      <c r="DK26" s="129"/>
      <c r="DL26" s="129"/>
      <c r="DM26" s="129"/>
      <c r="DN26" s="129"/>
      <c r="DO26" s="129"/>
      <c r="DP26" s="129"/>
      <c r="DQ26" s="129"/>
      <c r="DR26" s="129"/>
      <c r="DS26" s="129"/>
      <c r="DT26" s="129"/>
      <c r="DU26" s="129"/>
      <c r="DV26" s="129"/>
      <c r="DW26" s="129"/>
      <c r="DX26" s="129"/>
      <c r="DY26" s="129"/>
      <c r="DZ26" s="129"/>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9"/>
      <c r="FG26" s="129"/>
      <c r="FH26" s="129"/>
      <c r="FI26" s="129"/>
      <c r="FJ26" s="129"/>
      <c r="FK26" s="129"/>
      <c r="FL26" s="129"/>
      <c r="FM26" s="129"/>
      <c r="FN26" s="129"/>
      <c r="FO26" s="129"/>
      <c r="FP26" s="129"/>
      <c r="FQ26" s="129"/>
      <c r="FR26" s="129"/>
      <c r="FS26" s="129"/>
      <c r="FT26" s="129"/>
      <c r="FU26" s="129"/>
      <c r="FV26" s="129"/>
      <c r="FW26" s="129"/>
      <c r="FX26" s="129"/>
      <c r="FY26" s="129"/>
      <c r="FZ26" s="129"/>
      <c r="GA26" s="129"/>
      <c r="GB26" s="129"/>
      <c r="GC26" s="129"/>
      <c r="GD26" s="129"/>
      <c r="GE26" s="129"/>
      <c r="GF26" s="129"/>
      <c r="GG26" s="129"/>
      <c r="GH26" s="129"/>
      <c r="GI26" s="129"/>
      <c r="GJ26" s="129"/>
      <c r="GK26" s="129"/>
      <c r="GL26" s="129"/>
      <c r="GM26" s="129"/>
      <c r="GN26" s="129"/>
      <c r="GO26" s="129"/>
      <c r="GP26" s="129"/>
      <c r="GQ26" s="129"/>
      <c r="GR26" s="129"/>
      <c r="GS26" s="129"/>
      <c r="GT26" s="129"/>
      <c r="GU26" s="129"/>
      <c r="GV26" s="129"/>
      <c r="GW26" s="129"/>
      <c r="GX26" s="129"/>
      <c r="GY26" s="129"/>
      <c r="GZ26" s="129"/>
      <c r="HA26" s="129"/>
      <c r="HB26" s="129"/>
      <c r="HC26" s="129"/>
      <c r="HD26" s="129"/>
      <c r="HE26" s="129"/>
      <c r="HF26" s="129"/>
      <c r="HG26" s="129"/>
      <c r="HH26" s="129"/>
      <c r="HI26" s="129"/>
      <c r="HJ26" s="129"/>
      <c r="HK26" s="129"/>
      <c r="HL26" s="129"/>
      <c r="HM26" s="129"/>
      <c r="HN26" s="129"/>
      <c r="HO26" s="129"/>
      <c r="HP26" s="129"/>
      <c r="HQ26" s="129"/>
      <c r="HR26" s="129"/>
      <c r="HS26" s="129"/>
      <c r="HT26" s="129"/>
      <c r="HU26" s="129"/>
      <c r="HV26" s="129"/>
      <c r="HW26" s="129"/>
      <c r="HX26" s="129"/>
      <c r="HY26" s="129"/>
      <c r="HZ26" s="129"/>
      <c r="IA26" s="129"/>
      <c r="IB26" s="129"/>
      <c r="IC26" s="129"/>
      <c r="ID26" s="129"/>
      <c r="IE26" s="129"/>
      <c r="IF26" s="129"/>
      <c r="IG26" s="129"/>
      <c r="IH26" s="129"/>
      <c r="II26" s="129"/>
      <c r="IJ26" s="129"/>
      <c r="IK26" s="129"/>
      <c r="IL26" s="129"/>
      <c r="IM26" s="129"/>
      <c r="IN26" s="129"/>
      <c r="IO26" s="129"/>
      <c r="IP26" s="129"/>
      <c r="IQ26" s="129"/>
      <c r="IR26" s="129"/>
      <c r="IS26" s="129"/>
      <c r="IT26" s="129"/>
      <c r="IU26" s="129"/>
      <c r="IV26" s="129"/>
      <c r="IW26" s="129"/>
      <c r="IX26" s="129"/>
      <c r="IY26" s="129"/>
      <c r="IZ26" s="129"/>
      <c r="JA26" s="129"/>
      <c r="JB26" s="129"/>
      <c r="JC26" s="131"/>
    </row>
    <row r="27" spans="1:263" s="66" customFormat="1" ht="40" customHeight="1" x14ac:dyDescent="0.25">
      <c r="A27" s="157">
        <v>5.0999999999999996</v>
      </c>
      <c r="B27" s="158" t="s">
        <v>176</v>
      </c>
      <c r="C27" s="159" t="s">
        <v>136</v>
      </c>
      <c r="D27" s="160" t="s">
        <v>153</v>
      </c>
      <c r="E27" s="161">
        <v>45978</v>
      </c>
      <c r="F27" s="162">
        <v>46006</v>
      </c>
      <c r="G27" s="163">
        <v>31</v>
      </c>
      <c r="H27" s="164">
        <v>1</v>
      </c>
      <c r="I27" s="132">
        <v>22</v>
      </c>
      <c r="J27" s="133"/>
      <c r="K27" s="134"/>
      <c r="L27" s="134"/>
      <c r="M27" s="134"/>
      <c r="N27" s="134"/>
      <c r="O27" s="134"/>
      <c r="P27" s="134"/>
      <c r="Q27" s="134"/>
      <c r="R27" s="134"/>
      <c r="S27" s="134"/>
      <c r="T27" s="134"/>
      <c r="U27" s="134"/>
      <c r="V27" s="134"/>
      <c r="W27" s="134"/>
      <c r="X27" s="134"/>
      <c r="Y27" s="134"/>
      <c r="Z27" s="134"/>
      <c r="AA27" s="134"/>
      <c r="AB27" s="134"/>
      <c r="AC27" s="134"/>
      <c r="AD27" s="134"/>
      <c r="AE27" s="134"/>
      <c r="AF27" s="134"/>
      <c r="AG27" s="134"/>
      <c r="AH27" s="134"/>
      <c r="AI27" s="134"/>
      <c r="AJ27" s="134"/>
      <c r="AK27" s="134"/>
      <c r="AL27" s="134"/>
      <c r="AM27" s="134"/>
      <c r="AN27" s="134"/>
      <c r="AO27" s="134"/>
      <c r="AP27" s="134"/>
      <c r="AQ27" s="134"/>
      <c r="AR27" s="134"/>
      <c r="AS27" s="134"/>
      <c r="AT27" s="134"/>
      <c r="AU27" s="134"/>
      <c r="AV27" s="134"/>
      <c r="AW27" s="134"/>
      <c r="AX27" s="134"/>
      <c r="AY27" s="134"/>
      <c r="AZ27" s="134"/>
      <c r="BA27" s="134"/>
      <c r="BB27" s="134"/>
      <c r="BC27" s="134"/>
      <c r="BD27" s="134"/>
      <c r="BE27" s="134"/>
      <c r="BF27" s="134"/>
      <c r="BG27" s="134"/>
      <c r="BH27" s="134"/>
      <c r="BI27" s="134"/>
      <c r="BJ27" s="134"/>
      <c r="BK27" s="134"/>
      <c r="BL27" s="134"/>
      <c r="BM27" s="134"/>
      <c r="BN27" s="134"/>
      <c r="BO27" s="134"/>
      <c r="BP27" s="134"/>
      <c r="BQ27" s="134"/>
      <c r="BR27" s="134"/>
      <c r="BS27" s="134"/>
      <c r="BT27" s="134"/>
      <c r="BU27" s="134"/>
      <c r="BV27" s="134"/>
      <c r="BW27" s="134"/>
      <c r="BX27" s="134"/>
      <c r="BY27" s="134"/>
      <c r="BZ27" s="134"/>
      <c r="CA27" s="134"/>
      <c r="CB27" s="134"/>
      <c r="CC27" s="134"/>
      <c r="CD27" s="134"/>
      <c r="CE27" s="134"/>
      <c r="CF27" s="134"/>
      <c r="CG27" s="134"/>
      <c r="CH27" s="134"/>
      <c r="CI27" s="134"/>
      <c r="CJ27" s="134"/>
      <c r="CK27" s="134"/>
      <c r="CL27" s="134"/>
      <c r="CM27" s="134"/>
      <c r="CN27" s="134"/>
      <c r="CO27" s="134"/>
      <c r="CP27" s="134"/>
      <c r="CQ27" s="134"/>
      <c r="CR27" s="134"/>
      <c r="CS27" s="134"/>
      <c r="CT27" s="134"/>
      <c r="CU27" s="134"/>
      <c r="CV27" s="134"/>
      <c r="CW27" s="134"/>
      <c r="CX27" s="134"/>
      <c r="CY27" s="134"/>
      <c r="CZ27" s="134"/>
      <c r="DA27" s="134"/>
      <c r="DB27" s="134"/>
      <c r="DC27" s="134"/>
      <c r="DD27" s="134"/>
      <c r="DE27" s="134"/>
      <c r="DF27" s="134"/>
      <c r="DG27" s="134"/>
      <c r="DH27" s="134"/>
      <c r="DI27" s="134"/>
      <c r="DJ27" s="134"/>
      <c r="DK27" s="134"/>
      <c r="DL27" s="134"/>
      <c r="DM27" s="134"/>
      <c r="DN27" s="134"/>
      <c r="DO27" s="134"/>
      <c r="DP27" s="134"/>
      <c r="DQ27" s="134"/>
      <c r="DR27" s="134"/>
      <c r="DS27" s="134"/>
      <c r="DT27" s="134"/>
      <c r="DU27" s="134"/>
      <c r="DV27" s="134"/>
      <c r="DW27" s="134"/>
      <c r="DX27" s="134"/>
      <c r="DY27" s="134"/>
      <c r="DZ27" s="134"/>
      <c r="EA27" s="134"/>
      <c r="EB27" s="134"/>
      <c r="EC27" s="134"/>
      <c r="ED27" s="134"/>
      <c r="EE27" s="134"/>
      <c r="EF27" s="134"/>
      <c r="EG27" s="134"/>
      <c r="EH27" s="134"/>
      <c r="EI27" s="134"/>
      <c r="EJ27" s="134"/>
      <c r="EK27" s="134"/>
      <c r="EL27" s="134"/>
      <c r="EM27" s="134"/>
      <c r="EN27" s="134"/>
      <c r="EO27" s="134"/>
      <c r="EP27" s="134"/>
      <c r="EQ27" s="134"/>
      <c r="ER27" s="134"/>
      <c r="ES27" s="134"/>
      <c r="ET27" s="134"/>
      <c r="EU27" s="134"/>
      <c r="EV27" s="134"/>
      <c r="EW27" s="134"/>
      <c r="EX27" s="134"/>
      <c r="EY27" s="134"/>
      <c r="EZ27" s="134"/>
      <c r="FA27" s="134"/>
      <c r="FB27" s="134"/>
      <c r="FC27" s="134"/>
      <c r="FD27" s="134"/>
      <c r="FE27" s="134"/>
      <c r="FF27" s="134"/>
      <c r="FG27" s="134"/>
      <c r="FH27" s="134"/>
      <c r="FI27" s="134"/>
      <c r="FJ27" s="134"/>
      <c r="FK27" s="134"/>
      <c r="FL27" s="134"/>
      <c r="FM27" s="134"/>
      <c r="FN27" s="134"/>
      <c r="FO27" s="134"/>
      <c r="FP27" s="134"/>
      <c r="FQ27" s="134"/>
      <c r="FR27" s="134"/>
      <c r="FS27" s="134"/>
      <c r="FT27" s="134"/>
      <c r="FU27" s="134"/>
      <c r="FV27" s="134"/>
      <c r="FW27" s="134"/>
      <c r="FX27" s="134"/>
      <c r="FY27" s="134"/>
      <c r="FZ27" s="134"/>
      <c r="GA27" s="134"/>
      <c r="GB27" s="134"/>
      <c r="GC27" s="134"/>
      <c r="GD27" s="134"/>
      <c r="GE27" s="134"/>
      <c r="GF27" s="134"/>
      <c r="GG27" s="134"/>
      <c r="GH27" s="134"/>
      <c r="GI27" s="134"/>
      <c r="GJ27" s="134"/>
      <c r="GK27" s="134"/>
      <c r="GL27" s="134"/>
      <c r="GM27" s="134"/>
      <c r="GN27" s="134"/>
      <c r="GO27" s="134"/>
      <c r="GP27" s="134"/>
      <c r="GQ27" s="134"/>
      <c r="GR27" s="134"/>
      <c r="GS27" s="134"/>
      <c r="GT27" s="134"/>
      <c r="GU27" s="134"/>
      <c r="GV27" s="134"/>
      <c r="GW27" s="134"/>
      <c r="GX27" s="134"/>
      <c r="GY27" s="134"/>
      <c r="GZ27" s="134"/>
      <c r="HA27" s="134"/>
      <c r="HB27" s="134"/>
      <c r="HC27" s="134"/>
      <c r="HD27" s="134"/>
      <c r="HE27" s="134"/>
      <c r="HF27" s="134"/>
      <c r="HG27" s="134"/>
      <c r="HH27" s="134"/>
      <c r="HI27" s="134"/>
      <c r="HJ27" s="134"/>
      <c r="HK27" s="134"/>
      <c r="HL27" s="134"/>
      <c r="HM27" s="134"/>
      <c r="HN27" s="134"/>
      <c r="HO27" s="134"/>
      <c r="HP27" s="134"/>
      <c r="HQ27" s="134"/>
      <c r="HR27" s="134"/>
      <c r="HS27" s="134"/>
      <c r="HT27" s="134"/>
      <c r="HU27" s="134"/>
      <c r="HV27" s="134"/>
      <c r="HW27" s="134"/>
      <c r="HX27" s="134"/>
      <c r="HY27" s="134"/>
      <c r="HZ27" s="134"/>
      <c r="IA27" s="134"/>
      <c r="IB27" s="134"/>
      <c r="IC27" s="134"/>
      <c r="ID27" s="134"/>
      <c r="IE27" s="134"/>
      <c r="IF27" s="134"/>
      <c r="IG27" s="134"/>
      <c r="IH27" s="134"/>
      <c r="II27" s="134"/>
      <c r="IJ27" s="134"/>
      <c r="IK27" s="134"/>
      <c r="IL27" s="134"/>
      <c r="IM27" s="134"/>
      <c r="IN27" s="134"/>
      <c r="IO27" s="134"/>
      <c r="IP27" s="134"/>
      <c r="IQ27" s="134"/>
      <c r="IR27" s="134"/>
      <c r="IS27" s="134"/>
      <c r="IT27" s="134"/>
      <c r="IU27" s="134"/>
      <c r="IV27" s="134"/>
      <c r="IW27" s="134"/>
      <c r="IX27" s="134"/>
      <c r="IY27" s="134"/>
      <c r="IZ27" s="134"/>
      <c r="JA27" s="134"/>
      <c r="JB27" s="134"/>
      <c r="JC27" s="135"/>
    </row>
    <row r="28" spans="1:263" s="66" customFormat="1" ht="41" customHeight="1" x14ac:dyDescent="0.25">
      <c r="A28" s="157">
        <v>5.2</v>
      </c>
      <c r="B28" s="158" t="s">
        <v>177</v>
      </c>
      <c r="C28" s="159" t="s">
        <v>139</v>
      </c>
      <c r="D28" s="160" t="s">
        <v>153</v>
      </c>
      <c r="E28" s="161">
        <v>45978</v>
      </c>
      <c r="F28" s="162">
        <v>46000</v>
      </c>
      <c r="G28" s="163">
        <v>31</v>
      </c>
      <c r="H28" s="164">
        <v>1</v>
      </c>
      <c r="I28" s="132">
        <v>22</v>
      </c>
      <c r="J28" s="133"/>
      <c r="K28" s="134"/>
      <c r="L28" s="134"/>
      <c r="M28" s="134"/>
      <c r="N28" s="134"/>
      <c r="O28" s="134"/>
      <c r="P28" s="134"/>
      <c r="Q28" s="134"/>
      <c r="R28" s="134"/>
      <c r="S28" s="134"/>
      <c r="T28" s="134"/>
      <c r="U28" s="134"/>
      <c r="V28" s="134"/>
      <c r="W28" s="134"/>
      <c r="X28" s="134"/>
      <c r="Y28" s="134"/>
      <c r="Z28" s="134"/>
      <c r="AA28" s="134"/>
      <c r="AB28" s="134"/>
      <c r="AC28" s="134"/>
      <c r="AD28" s="134"/>
      <c r="AE28" s="134"/>
      <c r="AF28" s="134"/>
      <c r="AG28" s="134"/>
      <c r="AH28" s="134"/>
      <c r="AI28" s="134"/>
      <c r="AJ28" s="134"/>
      <c r="AK28" s="134"/>
      <c r="AL28" s="134"/>
      <c r="AM28" s="134"/>
      <c r="AN28" s="134"/>
      <c r="AO28" s="134"/>
      <c r="AP28" s="134"/>
      <c r="AQ28" s="134"/>
      <c r="AR28" s="134"/>
      <c r="AS28" s="134"/>
      <c r="AT28" s="134"/>
      <c r="AU28" s="134"/>
      <c r="AV28" s="134"/>
      <c r="AW28" s="134"/>
      <c r="AX28" s="134"/>
      <c r="AY28" s="134"/>
      <c r="AZ28" s="134"/>
      <c r="BA28" s="134"/>
      <c r="BB28" s="134"/>
      <c r="BC28" s="134"/>
      <c r="BD28" s="134"/>
      <c r="BE28" s="134"/>
      <c r="BF28" s="134"/>
      <c r="BG28" s="134"/>
      <c r="BH28" s="134"/>
      <c r="BI28" s="134"/>
      <c r="BJ28" s="134"/>
      <c r="BK28" s="134"/>
      <c r="BL28" s="134"/>
      <c r="BM28" s="134"/>
      <c r="BN28" s="134"/>
      <c r="BO28" s="134"/>
      <c r="BP28" s="134"/>
      <c r="BQ28" s="134"/>
      <c r="BR28" s="134"/>
      <c r="BS28" s="134"/>
      <c r="BT28" s="134"/>
      <c r="BU28" s="134"/>
      <c r="BV28" s="134"/>
      <c r="BW28" s="134"/>
      <c r="BX28" s="134"/>
      <c r="BY28" s="134"/>
      <c r="BZ28" s="134"/>
      <c r="CA28" s="134"/>
      <c r="CB28" s="134"/>
      <c r="CC28" s="134"/>
      <c r="CD28" s="134"/>
      <c r="CE28" s="134"/>
      <c r="CF28" s="134"/>
      <c r="CG28" s="134"/>
      <c r="CH28" s="134"/>
      <c r="CI28" s="134"/>
      <c r="CJ28" s="134"/>
      <c r="CK28" s="134"/>
      <c r="CL28" s="134"/>
      <c r="CM28" s="134"/>
      <c r="CN28" s="134"/>
      <c r="CO28" s="134"/>
      <c r="CP28" s="134"/>
      <c r="CQ28" s="134"/>
      <c r="CR28" s="134"/>
      <c r="CS28" s="134"/>
      <c r="CT28" s="134"/>
      <c r="CU28" s="134"/>
      <c r="CV28" s="134"/>
      <c r="CW28" s="134"/>
      <c r="CX28" s="134"/>
      <c r="CY28" s="134"/>
      <c r="CZ28" s="134"/>
      <c r="DA28" s="134"/>
      <c r="DB28" s="134"/>
      <c r="DC28" s="134"/>
      <c r="DD28" s="134"/>
      <c r="DE28" s="134"/>
      <c r="DF28" s="134"/>
      <c r="DG28" s="134"/>
      <c r="DH28" s="134"/>
      <c r="DI28" s="134"/>
      <c r="DJ28" s="134"/>
      <c r="DK28" s="134"/>
      <c r="DL28" s="134"/>
      <c r="DM28" s="134"/>
      <c r="DN28" s="134"/>
      <c r="DO28" s="134"/>
      <c r="DP28" s="134"/>
      <c r="DQ28" s="134"/>
      <c r="DR28" s="134"/>
      <c r="DS28" s="134"/>
      <c r="DT28" s="134"/>
      <c r="DU28" s="134"/>
      <c r="DV28" s="134"/>
      <c r="DW28" s="134"/>
      <c r="DX28" s="134"/>
      <c r="DY28" s="134"/>
      <c r="DZ28" s="134"/>
      <c r="EA28" s="134"/>
      <c r="EB28" s="134"/>
      <c r="EC28" s="134"/>
      <c r="ED28" s="134"/>
      <c r="EE28" s="134"/>
      <c r="EF28" s="134"/>
      <c r="EG28" s="134"/>
      <c r="EH28" s="134"/>
      <c r="EI28" s="134"/>
      <c r="EJ28" s="134"/>
      <c r="EK28" s="134"/>
      <c r="EL28" s="134"/>
      <c r="EM28" s="134"/>
      <c r="EN28" s="134"/>
      <c r="EO28" s="134"/>
      <c r="EP28" s="134"/>
      <c r="EQ28" s="134"/>
      <c r="ER28" s="134"/>
      <c r="ES28" s="134"/>
      <c r="ET28" s="134"/>
      <c r="EU28" s="134"/>
      <c r="EV28" s="134"/>
      <c r="EW28" s="134"/>
      <c r="EX28" s="134"/>
      <c r="EY28" s="134"/>
      <c r="EZ28" s="134"/>
      <c r="FA28" s="134"/>
      <c r="FB28" s="134"/>
      <c r="FC28" s="134"/>
      <c r="FD28" s="134"/>
      <c r="FE28" s="134"/>
      <c r="FF28" s="134"/>
      <c r="FG28" s="134"/>
      <c r="FH28" s="134"/>
      <c r="FI28" s="134"/>
      <c r="FJ28" s="134"/>
      <c r="FK28" s="134"/>
      <c r="FL28" s="134"/>
      <c r="FM28" s="134"/>
      <c r="FN28" s="134"/>
      <c r="FO28" s="134"/>
      <c r="FP28" s="134"/>
      <c r="FQ28" s="134"/>
      <c r="FR28" s="134"/>
      <c r="FS28" s="134"/>
      <c r="FT28" s="134"/>
      <c r="FU28" s="134"/>
      <c r="FV28" s="134"/>
      <c r="FW28" s="134"/>
      <c r="FX28" s="134"/>
      <c r="FY28" s="134"/>
      <c r="FZ28" s="134"/>
      <c r="GA28" s="134"/>
      <c r="GB28" s="134"/>
      <c r="GC28" s="134"/>
      <c r="GD28" s="134"/>
      <c r="GE28" s="134"/>
      <c r="GF28" s="134"/>
      <c r="GG28" s="134"/>
      <c r="GH28" s="134"/>
      <c r="GI28" s="134"/>
      <c r="GJ28" s="134"/>
      <c r="GK28" s="134"/>
      <c r="GL28" s="134"/>
      <c r="GM28" s="134"/>
      <c r="GN28" s="134"/>
      <c r="GO28" s="134"/>
      <c r="GP28" s="134"/>
      <c r="GQ28" s="134"/>
      <c r="GR28" s="134"/>
      <c r="GS28" s="134"/>
      <c r="GT28" s="134"/>
      <c r="GU28" s="134"/>
      <c r="GV28" s="134"/>
      <c r="GW28" s="134"/>
      <c r="GX28" s="134"/>
      <c r="GY28" s="134"/>
      <c r="GZ28" s="134"/>
      <c r="HA28" s="134"/>
      <c r="HB28" s="134"/>
      <c r="HC28" s="134"/>
      <c r="HD28" s="134"/>
      <c r="HE28" s="134"/>
      <c r="HF28" s="134"/>
      <c r="HG28" s="134"/>
      <c r="HH28" s="134"/>
      <c r="HI28" s="134"/>
      <c r="HJ28" s="134"/>
      <c r="HK28" s="134"/>
      <c r="HL28" s="134"/>
      <c r="HM28" s="134"/>
      <c r="HN28" s="134"/>
      <c r="HO28" s="134"/>
      <c r="HP28" s="134"/>
      <c r="HQ28" s="134"/>
      <c r="HR28" s="134"/>
      <c r="HS28" s="134"/>
      <c r="HT28" s="134"/>
      <c r="HU28" s="134"/>
      <c r="HV28" s="134"/>
      <c r="HW28" s="134"/>
      <c r="HX28" s="134"/>
      <c r="HY28" s="134"/>
      <c r="HZ28" s="134"/>
      <c r="IA28" s="134"/>
      <c r="IB28" s="134"/>
      <c r="IC28" s="134"/>
      <c r="ID28" s="134"/>
      <c r="IE28" s="134"/>
      <c r="IF28" s="134"/>
      <c r="IG28" s="134"/>
      <c r="IH28" s="134"/>
      <c r="II28" s="134"/>
      <c r="IJ28" s="134"/>
      <c r="IK28" s="134"/>
      <c r="IL28" s="134"/>
      <c r="IM28" s="134"/>
      <c r="IN28" s="134"/>
      <c r="IO28" s="134"/>
      <c r="IP28" s="134"/>
      <c r="IQ28" s="134"/>
      <c r="IR28" s="134"/>
      <c r="IS28" s="134"/>
      <c r="IT28" s="134"/>
      <c r="IU28" s="134"/>
      <c r="IV28" s="134"/>
      <c r="IW28" s="134"/>
      <c r="IX28" s="134"/>
      <c r="IY28" s="134"/>
      <c r="IZ28" s="134"/>
      <c r="JA28" s="134"/>
      <c r="JB28" s="134"/>
      <c r="JC28" s="135"/>
    </row>
    <row r="29" spans="1:263" s="67" customFormat="1" ht="46" customHeight="1" x14ac:dyDescent="0.25">
      <c r="A29" s="165">
        <v>6</v>
      </c>
      <c r="B29" s="166" t="s">
        <v>145</v>
      </c>
      <c r="C29" s="167"/>
      <c r="D29" s="168"/>
      <c r="E29" s="169"/>
      <c r="F29" s="170"/>
      <c r="G29" s="171"/>
      <c r="H29" s="172"/>
      <c r="I29" s="136"/>
      <c r="J29" s="137"/>
      <c r="K29" s="138"/>
      <c r="L29" s="138"/>
      <c r="M29" s="138"/>
      <c r="N29" s="138"/>
      <c r="O29" s="138"/>
      <c r="P29" s="138"/>
      <c r="Q29" s="138"/>
      <c r="R29" s="138"/>
      <c r="S29" s="138"/>
      <c r="T29" s="138"/>
      <c r="U29" s="138"/>
      <c r="V29" s="138"/>
      <c r="W29" s="138"/>
      <c r="X29" s="138"/>
      <c r="Y29" s="138"/>
      <c r="Z29" s="138"/>
      <c r="AA29" s="138"/>
      <c r="AB29" s="138"/>
      <c r="AC29" s="138"/>
      <c r="AD29" s="138"/>
      <c r="AE29" s="138"/>
      <c r="AF29" s="138"/>
      <c r="AG29" s="138"/>
      <c r="AH29" s="138"/>
      <c r="AI29" s="138"/>
      <c r="AJ29" s="138"/>
      <c r="AK29" s="138"/>
      <c r="AL29" s="138"/>
      <c r="AM29" s="138"/>
      <c r="AN29" s="138"/>
      <c r="AO29" s="138"/>
      <c r="AP29" s="138"/>
      <c r="AQ29" s="138"/>
      <c r="AR29" s="138"/>
      <c r="AS29" s="138"/>
      <c r="AT29" s="138"/>
      <c r="AU29" s="138"/>
      <c r="AV29" s="138"/>
      <c r="AW29" s="138"/>
      <c r="AX29" s="138"/>
      <c r="AY29" s="138"/>
      <c r="AZ29" s="138"/>
      <c r="BA29" s="138"/>
      <c r="BB29" s="138"/>
      <c r="BC29" s="138"/>
      <c r="BD29" s="138"/>
      <c r="BE29" s="138"/>
      <c r="BF29" s="138"/>
      <c r="BG29" s="138"/>
      <c r="BH29" s="138"/>
      <c r="BI29" s="138"/>
      <c r="BJ29" s="138"/>
      <c r="BK29" s="138"/>
      <c r="BL29" s="138"/>
      <c r="BM29" s="138"/>
      <c r="BN29" s="138"/>
      <c r="BO29" s="138"/>
      <c r="BP29" s="138"/>
      <c r="BQ29" s="138"/>
      <c r="BR29" s="138"/>
      <c r="BS29" s="138"/>
      <c r="BT29" s="138"/>
      <c r="BU29" s="138"/>
      <c r="BV29" s="138"/>
      <c r="BW29" s="138"/>
      <c r="BX29" s="138"/>
      <c r="BY29" s="138"/>
      <c r="BZ29" s="138"/>
      <c r="CA29" s="138"/>
      <c r="CB29" s="138"/>
      <c r="CC29" s="138"/>
      <c r="CD29" s="138"/>
      <c r="CE29" s="138"/>
      <c r="CF29" s="138"/>
      <c r="CG29" s="138"/>
      <c r="CH29" s="138"/>
      <c r="CI29" s="138"/>
      <c r="CJ29" s="138"/>
      <c r="CK29" s="138"/>
      <c r="CL29" s="138"/>
      <c r="CM29" s="138"/>
      <c r="CN29" s="138"/>
      <c r="CO29" s="138"/>
      <c r="CP29" s="138"/>
      <c r="CQ29" s="138"/>
      <c r="CR29" s="138"/>
      <c r="CS29" s="138"/>
      <c r="CT29" s="138"/>
      <c r="CU29" s="138"/>
      <c r="CV29" s="138"/>
      <c r="CW29" s="138"/>
      <c r="CX29" s="138"/>
      <c r="CY29" s="138"/>
      <c r="CZ29" s="138"/>
      <c r="DA29" s="138"/>
      <c r="DB29" s="138"/>
      <c r="DC29" s="138"/>
      <c r="DD29" s="138"/>
      <c r="DE29" s="138"/>
      <c r="DF29" s="138"/>
      <c r="DG29" s="138"/>
      <c r="DH29" s="138"/>
      <c r="DI29" s="138"/>
      <c r="DJ29" s="138"/>
      <c r="DK29" s="138"/>
      <c r="DL29" s="138"/>
      <c r="DM29" s="138"/>
      <c r="DN29" s="138"/>
      <c r="DO29" s="138"/>
      <c r="DP29" s="138"/>
      <c r="DQ29" s="138"/>
      <c r="DR29" s="138"/>
      <c r="DS29" s="138"/>
      <c r="DT29" s="138"/>
      <c r="DU29" s="138"/>
      <c r="DV29" s="138"/>
      <c r="DW29" s="138"/>
      <c r="DX29" s="138"/>
      <c r="DY29" s="138"/>
      <c r="DZ29" s="138"/>
      <c r="EA29" s="138"/>
      <c r="EB29" s="138"/>
      <c r="EC29" s="138"/>
      <c r="ED29" s="138"/>
      <c r="EE29" s="138"/>
      <c r="EF29" s="138"/>
      <c r="EG29" s="138"/>
      <c r="EH29" s="138"/>
      <c r="EI29" s="138"/>
      <c r="EJ29" s="138"/>
      <c r="EK29" s="138"/>
      <c r="EL29" s="138"/>
      <c r="EM29" s="138"/>
      <c r="EN29" s="138"/>
      <c r="EO29" s="138"/>
      <c r="EP29" s="138"/>
      <c r="EQ29" s="138"/>
      <c r="ER29" s="138"/>
      <c r="ES29" s="138"/>
      <c r="ET29" s="138"/>
      <c r="EU29" s="138"/>
      <c r="EV29" s="138"/>
      <c r="EW29" s="138"/>
      <c r="EX29" s="138"/>
      <c r="EY29" s="138"/>
      <c r="EZ29" s="138"/>
      <c r="FA29" s="138"/>
      <c r="FB29" s="138"/>
      <c r="FC29" s="138"/>
      <c r="FD29" s="138"/>
      <c r="FE29" s="138"/>
      <c r="FF29" s="138"/>
      <c r="FG29" s="138"/>
      <c r="FH29" s="138"/>
      <c r="FI29" s="138"/>
      <c r="FJ29" s="138"/>
      <c r="FK29" s="138"/>
      <c r="FL29" s="138"/>
      <c r="FM29" s="138"/>
      <c r="FN29" s="138"/>
      <c r="FO29" s="138"/>
      <c r="FP29" s="138"/>
      <c r="FQ29" s="138"/>
      <c r="FR29" s="138"/>
      <c r="FS29" s="138"/>
      <c r="FT29" s="138"/>
      <c r="FU29" s="138"/>
      <c r="FV29" s="138"/>
      <c r="FW29" s="138"/>
      <c r="FX29" s="138"/>
      <c r="FY29" s="138"/>
      <c r="FZ29" s="138"/>
      <c r="GA29" s="138"/>
      <c r="GB29" s="138"/>
      <c r="GC29" s="138"/>
      <c r="GD29" s="138"/>
      <c r="GE29" s="138"/>
      <c r="GF29" s="138"/>
      <c r="GG29" s="138"/>
      <c r="GH29" s="138"/>
      <c r="GI29" s="138"/>
      <c r="GJ29" s="138"/>
      <c r="GK29" s="138"/>
      <c r="GL29" s="138"/>
      <c r="GM29" s="138"/>
      <c r="GN29" s="138"/>
      <c r="GO29" s="138"/>
      <c r="GP29" s="138"/>
      <c r="GQ29" s="138"/>
      <c r="GR29" s="138"/>
      <c r="GS29" s="138"/>
      <c r="GT29" s="138"/>
      <c r="GU29" s="138"/>
      <c r="GV29" s="138"/>
      <c r="GW29" s="138"/>
      <c r="GX29" s="138"/>
      <c r="GY29" s="138"/>
      <c r="GZ29" s="138"/>
      <c r="HA29" s="138"/>
      <c r="HB29" s="138"/>
      <c r="HC29" s="138"/>
      <c r="HD29" s="138"/>
      <c r="HE29" s="138"/>
      <c r="HF29" s="138"/>
      <c r="HG29" s="138"/>
      <c r="HH29" s="138"/>
      <c r="HI29" s="138"/>
      <c r="HJ29" s="138"/>
      <c r="HK29" s="138"/>
      <c r="HL29" s="138"/>
      <c r="HM29" s="138"/>
      <c r="HN29" s="138"/>
      <c r="HO29" s="138"/>
      <c r="HP29" s="138"/>
      <c r="HQ29" s="138"/>
      <c r="HR29" s="138"/>
      <c r="HS29" s="138"/>
      <c r="HT29" s="138"/>
      <c r="HU29" s="138"/>
      <c r="HV29" s="138"/>
      <c r="HW29" s="138"/>
      <c r="HX29" s="138"/>
      <c r="HY29" s="138"/>
      <c r="HZ29" s="138"/>
      <c r="IA29" s="138"/>
      <c r="IB29" s="138"/>
      <c r="IC29" s="138"/>
      <c r="ID29" s="138"/>
      <c r="IE29" s="138"/>
      <c r="IF29" s="138"/>
      <c r="IG29" s="138"/>
      <c r="IH29" s="138"/>
      <c r="II29" s="138"/>
      <c r="IJ29" s="138"/>
      <c r="IK29" s="138"/>
      <c r="IL29" s="138"/>
      <c r="IM29" s="138"/>
      <c r="IN29" s="138"/>
      <c r="IO29" s="138"/>
      <c r="IP29" s="138"/>
      <c r="IQ29" s="138"/>
      <c r="IR29" s="138"/>
      <c r="IS29" s="138"/>
      <c r="IT29" s="138"/>
      <c r="IU29" s="138"/>
      <c r="IV29" s="138"/>
      <c r="IW29" s="138"/>
      <c r="IX29" s="138"/>
      <c r="IY29" s="138"/>
      <c r="IZ29" s="138"/>
      <c r="JA29" s="138"/>
      <c r="JB29" s="138"/>
      <c r="JC29" s="139"/>
    </row>
    <row r="30" spans="1:263" s="66" customFormat="1" ht="41" customHeight="1" x14ac:dyDescent="0.25">
      <c r="A30" s="157">
        <v>6.1</v>
      </c>
      <c r="B30" s="158" t="s">
        <v>146</v>
      </c>
      <c r="C30" s="159" t="s">
        <v>133</v>
      </c>
      <c r="D30" s="160" t="s">
        <v>153</v>
      </c>
      <c r="E30" s="161">
        <v>45964</v>
      </c>
      <c r="F30" s="162">
        <v>45986</v>
      </c>
      <c r="G30" s="163">
        <v>22</v>
      </c>
      <c r="H30" s="164">
        <v>1</v>
      </c>
      <c r="I30" s="132">
        <v>15</v>
      </c>
      <c r="J30" s="133"/>
      <c r="K30" s="134"/>
      <c r="L30" s="134"/>
      <c r="M30" s="134"/>
      <c r="N30" s="134"/>
      <c r="O30" s="134"/>
      <c r="P30" s="134"/>
      <c r="Q30" s="134"/>
      <c r="R30" s="134"/>
      <c r="S30" s="134"/>
      <c r="T30" s="134"/>
      <c r="U30" s="134"/>
      <c r="V30" s="134"/>
      <c r="W30" s="134"/>
      <c r="X30" s="134"/>
      <c r="Y30" s="134"/>
      <c r="Z30" s="134"/>
      <c r="AA30" s="134"/>
      <c r="AB30" s="134"/>
      <c r="AC30" s="134"/>
      <c r="AD30" s="134"/>
      <c r="AE30" s="134"/>
      <c r="AF30" s="134"/>
      <c r="AG30" s="134"/>
      <c r="AH30" s="134"/>
      <c r="AI30" s="134"/>
      <c r="AJ30" s="134"/>
      <c r="AK30" s="134"/>
      <c r="AL30" s="134"/>
      <c r="AM30" s="134"/>
      <c r="AN30" s="134"/>
      <c r="AO30" s="134"/>
      <c r="AP30" s="134"/>
      <c r="AQ30" s="134"/>
      <c r="AR30" s="134"/>
      <c r="AS30" s="134"/>
      <c r="AT30" s="134"/>
      <c r="AU30" s="134"/>
      <c r="AV30" s="134"/>
      <c r="AW30" s="134"/>
      <c r="AX30" s="134"/>
      <c r="AY30" s="134"/>
      <c r="AZ30" s="134"/>
      <c r="BA30" s="134"/>
      <c r="BB30" s="134"/>
      <c r="BC30" s="134"/>
      <c r="BD30" s="134"/>
      <c r="BE30" s="134"/>
      <c r="BF30" s="134"/>
      <c r="BG30" s="134"/>
      <c r="BH30" s="134"/>
      <c r="BI30" s="134"/>
      <c r="BJ30" s="134"/>
      <c r="BK30" s="134"/>
      <c r="BL30" s="134"/>
      <c r="BM30" s="134"/>
      <c r="BN30" s="134"/>
      <c r="BO30" s="134"/>
      <c r="BP30" s="134"/>
      <c r="BQ30" s="134"/>
      <c r="BR30" s="134"/>
      <c r="BS30" s="134"/>
      <c r="BT30" s="134"/>
      <c r="BU30" s="134"/>
      <c r="BV30" s="134"/>
      <c r="BW30" s="134"/>
      <c r="BX30" s="134"/>
      <c r="BY30" s="134"/>
      <c r="BZ30" s="134"/>
      <c r="CA30" s="134"/>
      <c r="CB30" s="134"/>
      <c r="CC30" s="134"/>
      <c r="CD30" s="134"/>
      <c r="CE30" s="134"/>
      <c r="CF30" s="134"/>
      <c r="CG30" s="134"/>
      <c r="CH30" s="134"/>
      <c r="CI30" s="134"/>
      <c r="CJ30" s="134"/>
      <c r="CK30" s="134"/>
      <c r="CL30" s="134"/>
      <c r="CM30" s="134"/>
      <c r="CN30" s="134"/>
      <c r="CO30" s="134"/>
      <c r="CP30" s="134"/>
      <c r="CQ30" s="134"/>
      <c r="CR30" s="134"/>
      <c r="CS30" s="134"/>
      <c r="CT30" s="134"/>
      <c r="CU30" s="134"/>
      <c r="CV30" s="134"/>
      <c r="CW30" s="134"/>
      <c r="CX30" s="134"/>
      <c r="CY30" s="134"/>
      <c r="CZ30" s="134"/>
      <c r="DA30" s="134"/>
      <c r="DB30" s="134"/>
      <c r="DC30" s="134"/>
      <c r="DD30" s="134"/>
      <c r="DE30" s="134"/>
      <c r="DF30" s="134"/>
      <c r="DG30" s="134"/>
      <c r="DH30" s="134"/>
      <c r="DI30" s="134"/>
      <c r="DJ30" s="134"/>
      <c r="DK30" s="134"/>
      <c r="DL30" s="134"/>
      <c r="DM30" s="134"/>
      <c r="DN30" s="134"/>
      <c r="DO30" s="134"/>
      <c r="DP30" s="134"/>
      <c r="DQ30" s="134"/>
      <c r="DR30" s="134"/>
      <c r="DS30" s="134"/>
      <c r="DT30" s="134"/>
      <c r="DU30" s="134"/>
      <c r="DV30" s="134"/>
      <c r="DW30" s="134"/>
      <c r="DX30" s="134"/>
      <c r="DY30" s="134"/>
      <c r="DZ30" s="134"/>
      <c r="EA30" s="134"/>
      <c r="EB30" s="134"/>
      <c r="EC30" s="134"/>
      <c r="ED30" s="134"/>
      <c r="EE30" s="134"/>
      <c r="EF30" s="134"/>
      <c r="EG30" s="134"/>
      <c r="EH30" s="134"/>
      <c r="EI30" s="134"/>
      <c r="EJ30" s="134"/>
      <c r="EK30" s="134"/>
      <c r="EL30" s="134"/>
      <c r="EM30" s="134"/>
      <c r="EN30" s="134"/>
      <c r="EO30" s="134"/>
      <c r="EP30" s="134"/>
      <c r="EQ30" s="134"/>
      <c r="ER30" s="134"/>
      <c r="ES30" s="134"/>
      <c r="ET30" s="134"/>
      <c r="EU30" s="134"/>
      <c r="EV30" s="134"/>
      <c r="EW30" s="134"/>
      <c r="EX30" s="134"/>
      <c r="EY30" s="134"/>
      <c r="EZ30" s="134"/>
      <c r="FA30" s="134"/>
      <c r="FB30" s="134"/>
      <c r="FC30" s="134"/>
      <c r="FD30" s="134"/>
      <c r="FE30" s="134"/>
      <c r="FF30" s="134"/>
      <c r="FG30" s="134"/>
      <c r="FH30" s="134"/>
      <c r="FI30" s="134"/>
      <c r="FJ30" s="134"/>
      <c r="FK30" s="134"/>
      <c r="FL30" s="134"/>
      <c r="FM30" s="134"/>
      <c r="FN30" s="134"/>
      <c r="FO30" s="134"/>
      <c r="FP30" s="134"/>
      <c r="FQ30" s="134"/>
      <c r="FR30" s="134"/>
      <c r="FS30" s="134"/>
      <c r="FT30" s="134"/>
      <c r="FU30" s="134"/>
      <c r="FV30" s="134"/>
      <c r="FW30" s="134"/>
      <c r="FX30" s="134"/>
      <c r="FY30" s="134"/>
      <c r="FZ30" s="134"/>
      <c r="GA30" s="134"/>
      <c r="GB30" s="134"/>
      <c r="GC30" s="134"/>
      <c r="GD30" s="134"/>
      <c r="GE30" s="134"/>
      <c r="GF30" s="134"/>
      <c r="GG30" s="134"/>
      <c r="GH30" s="134"/>
      <c r="GI30" s="134"/>
      <c r="GJ30" s="134"/>
      <c r="GK30" s="134"/>
      <c r="GL30" s="134"/>
      <c r="GM30" s="134"/>
      <c r="GN30" s="134"/>
      <c r="GO30" s="134"/>
      <c r="GP30" s="134"/>
      <c r="GQ30" s="134"/>
      <c r="GR30" s="134"/>
      <c r="GS30" s="134"/>
      <c r="GT30" s="134"/>
      <c r="GU30" s="134"/>
      <c r="GV30" s="134"/>
      <c r="GW30" s="134"/>
      <c r="GX30" s="134"/>
      <c r="GY30" s="134"/>
      <c r="GZ30" s="134"/>
      <c r="HA30" s="134"/>
      <c r="HB30" s="134"/>
      <c r="HC30" s="134"/>
      <c r="HD30" s="134"/>
      <c r="HE30" s="134"/>
      <c r="HF30" s="134"/>
      <c r="HG30" s="134"/>
      <c r="HH30" s="134"/>
      <c r="HI30" s="134"/>
      <c r="HJ30" s="134"/>
      <c r="HK30" s="134"/>
      <c r="HL30" s="134"/>
      <c r="HM30" s="134"/>
      <c r="HN30" s="134"/>
      <c r="HO30" s="134"/>
      <c r="HP30" s="134"/>
      <c r="HQ30" s="134"/>
      <c r="HR30" s="134"/>
      <c r="HS30" s="134"/>
      <c r="HT30" s="134"/>
      <c r="HU30" s="134"/>
      <c r="HV30" s="134"/>
      <c r="HW30" s="134"/>
      <c r="HX30" s="134"/>
      <c r="HY30" s="134"/>
      <c r="HZ30" s="134"/>
      <c r="IA30" s="134"/>
      <c r="IB30" s="134"/>
      <c r="IC30" s="134"/>
      <c r="ID30" s="134"/>
      <c r="IE30" s="134"/>
      <c r="IF30" s="134"/>
      <c r="IG30" s="134"/>
      <c r="IH30" s="134"/>
      <c r="II30" s="134"/>
      <c r="IJ30" s="134"/>
      <c r="IK30" s="134"/>
      <c r="IL30" s="134"/>
      <c r="IM30" s="134"/>
      <c r="IN30" s="134"/>
      <c r="IO30" s="134"/>
      <c r="IP30" s="134"/>
      <c r="IQ30" s="134"/>
      <c r="IR30" s="134"/>
      <c r="IS30" s="134"/>
      <c r="IT30" s="134"/>
      <c r="IU30" s="134"/>
      <c r="IV30" s="134"/>
      <c r="IW30" s="134"/>
      <c r="IX30" s="134"/>
      <c r="IY30" s="134"/>
      <c r="IZ30" s="134"/>
      <c r="JA30" s="134"/>
      <c r="JB30" s="134"/>
      <c r="JC30" s="135"/>
    </row>
    <row r="31" spans="1:263" s="66" customFormat="1" ht="39.5" customHeight="1" x14ac:dyDescent="0.25">
      <c r="A31" s="157">
        <v>6.2</v>
      </c>
      <c r="B31" s="158" t="s">
        <v>147</v>
      </c>
      <c r="C31" s="159" t="s">
        <v>136</v>
      </c>
      <c r="D31" s="160" t="s">
        <v>153</v>
      </c>
      <c r="E31" s="161">
        <v>45964</v>
      </c>
      <c r="F31" s="162">
        <v>45990</v>
      </c>
      <c r="G31" s="163">
        <v>27</v>
      </c>
      <c r="H31" s="164">
        <v>1</v>
      </c>
      <c r="I31" s="132">
        <v>20</v>
      </c>
      <c r="J31" s="133"/>
      <c r="K31" s="134"/>
      <c r="L31" s="134"/>
      <c r="M31" s="134"/>
      <c r="N31" s="134"/>
      <c r="O31" s="134"/>
      <c r="P31" s="134"/>
      <c r="Q31" s="134"/>
      <c r="R31" s="134"/>
      <c r="S31" s="134"/>
      <c r="T31" s="134"/>
      <c r="U31" s="134"/>
      <c r="V31" s="134"/>
      <c r="W31" s="134"/>
      <c r="X31" s="134"/>
      <c r="Y31" s="134"/>
      <c r="Z31" s="134"/>
      <c r="AA31" s="134"/>
      <c r="AB31" s="134"/>
      <c r="AC31" s="134"/>
      <c r="AD31" s="134"/>
      <c r="AE31" s="134"/>
      <c r="AF31" s="134"/>
      <c r="AG31" s="134"/>
      <c r="AH31" s="134"/>
      <c r="AI31" s="134"/>
      <c r="AJ31" s="134"/>
      <c r="AK31" s="134"/>
      <c r="AL31" s="134"/>
      <c r="AM31" s="134"/>
      <c r="AN31" s="134"/>
      <c r="AO31" s="134"/>
      <c r="AP31" s="134"/>
      <c r="AQ31" s="134"/>
      <c r="AR31" s="134"/>
      <c r="AS31" s="134"/>
      <c r="AT31" s="134"/>
      <c r="AU31" s="134"/>
      <c r="AV31" s="134"/>
      <c r="AW31" s="134"/>
      <c r="AX31" s="134"/>
      <c r="AY31" s="134"/>
      <c r="AZ31" s="134"/>
      <c r="BA31" s="134"/>
      <c r="BB31" s="134"/>
      <c r="BC31" s="134"/>
      <c r="BD31" s="134"/>
      <c r="BE31" s="134"/>
      <c r="BF31" s="134"/>
      <c r="BG31" s="134"/>
      <c r="BH31" s="134"/>
      <c r="BI31" s="134"/>
      <c r="BJ31" s="134"/>
      <c r="BK31" s="134"/>
      <c r="BL31" s="134"/>
      <c r="BM31" s="134"/>
      <c r="BN31" s="134"/>
      <c r="BO31" s="134"/>
      <c r="BP31" s="134"/>
      <c r="BQ31" s="134"/>
      <c r="BR31" s="134"/>
      <c r="BS31" s="134"/>
      <c r="BT31" s="134"/>
      <c r="BU31" s="134"/>
      <c r="BV31" s="134"/>
      <c r="BW31" s="134"/>
      <c r="BX31" s="134"/>
      <c r="BY31" s="134"/>
      <c r="BZ31" s="134"/>
      <c r="CA31" s="134"/>
      <c r="CB31" s="134"/>
      <c r="CC31" s="134"/>
      <c r="CD31" s="134"/>
      <c r="CE31" s="134"/>
      <c r="CF31" s="134"/>
      <c r="CG31" s="134"/>
      <c r="CH31" s="134"/>
      <c r="CI31" s="134"/>
      <c r="CJ31" s="134"/>
      <c r="CK31" s="134"/>
      <c r="CL31" s="134"/>
      <c r="CM31" s="134"/>
      <c r="CN31" s="134"/>
      <c r="CO31" s="134"/>
      <c r="CP31" s="134"/>
      <c r="CQ31" s="134"/>
      <c r="CR31" s="134"/>
      <c r="CS31" s="134"/>
      <c r="CT31" s="134"/>
      <c r="CU31" s="134"/>
      <c r="CV31" s="134"/>
      <c r="CW31" s="134"/>
      <c r="CX31" s="134"/>
      <c r="CY31" s="134"/>
      <c r="CZ31" s="134"/>
      <c r="DA31" s="134"/>
      <c r="DB31" s="134"/>
      <c r="DC31" s="134"/>
      <c r="DD31" s="134"/>
      <c r="DE31" s="134"/>
      <c r="DF31" s="134"/>
      <c r="DG31" s="134"/>
      <c r="DH31" s="134"/>
      <c r="DI31" s="134"/>
      <c r="DJ31" s="134"/>
      <c r="DK31" s="134"/>
      <c r="DL31" s="134"/>
      <c r="DM31" s="134"/>
      <c r="DN31" s="134"/>
      <c r="DO31" s="134"/>
      <c r="DP31" s="134"/>
      <c r="DQ31" s="134"/>
      <c r="DR31" s="134"/>
      <c r="DS31" s="134"/>
      <c r="DT31" s="134"/>
      <c r="DU31" s="134"/>
      <c r="DV31" s="134"/>
      <c r="DW31" s="134"/>
      <c r="DX31" s="134"/>
      <c r="DY31" s="134"/>
      <c r="DZ31" s="134"/>
      <c r="EA31" s="134"/>
      <c r="EB31" s="134"/>
      <c r="EC31" s="134"/>
      <c r="ED31" s="134"/>
      <c r="EE31" s="134"/>
      <c r="EF31" s="134"/>
      <c r="EG31" s="134"/>
      <c r="EH31" s="134"/>
      <c r="EI31" s="134"/>
      <c r="EJ31" s="134"/>
      <c r="EK31" s="134"/>
      <c r="EL31" s="134"/>
      <c r="EM31" s="134"/>
      <c r="EN31" s="134"/>
      <c r="EO31" s="134"/>
      <c r="EP31" s="134"/>
      <c r="EQ31" s="134"/>
      <c r="ER31" s="134"/>
      <c r="ES31" s="134"/>
      <c r="ET31" s="134"/>
      <c r="EU31" s="134"/>
      <c r="EV31" s="134"/>
      <c r="EW31" s="134"/>
      <c r="EX31" s="134"/>
      <c r="EY31" s="134"/>
      <c r="EZ31" s="134"/>
      <c r="FA31" s="134"/>
      <c r="FB31" s="134"/>
      <c r="FC31" s="134"/>
      <c r="FD31" s="134"/>
      <c r="FE31" s="134"/>
      <c r="FF31" s="134"/>
      <c r="FG31" s="134"/>
      <c r="FH31" s="134"/>
      <c r="FI31" s="134"/>
      <c r="FJ31" s="134"/>
      <c r="FK31" s="134"/>
      <c r="FL31" s="134"/>
      <c r="FM31" s="134"/>
      <c r="FN31" s="134"/>
      <c r="FO31" s="134"/>
      <c r="FP31" s="134"/>
      <c r="FQ31" s="134"/>
      <c r="FR31" s="134"/>
      <c r="FS31" s="134"/>
      <c r="FT31" s="134"/>
      <c r="FU31" s="134"/>
      <c r="FV31" s="134"/>
      <c r="FW31" s="134"/>
      <c r="FX31" s="134"/>
      <c r="FY31" s="134"/>
      <c r="FZ31" s="134"/>
      <c r="GA31" s="134"/>
      <c r="GB31" s="134"/>
      <c r="GC31" s="134"/>
      <c r="GD31" s="134"/>
      <c r="GE31" s="134"/>
      <c r="GF31" s="134"/>
      <c r="GG31" s="134"/>
      <c r="GH31" s="134"/>
      <c r="GI31" s="134"/>
      <c r="GJ31" s="134"/>
      <c r="GK31" s="134"/>
      <c r="GL31" s="134"/>
      <c r="GM31" s="134"/>
      <c r="GN31" s="134"/>
      <c r="GO31" s="134"/>
      <c r="GP31" s="134"/>
      <c r="GQ31" s="134"/>
      <c r="GR31" s="134"/>
      <c r="GS31" s="134"/>
      <c r="GT31" s="134"/>
      <c r="GU31" s="134"/>
      <c r="GV31" s="134"/>
      <c r="GW31" s="134"/>
      <c r="GX31" s="134"/>
      <c r="GY31" s="134"/>
      <c r="GZ31" s="134"/>
      <c r="HA31" s="134"/>
      <c r="HB31" s="134"/>
      <c r="HC31" s="134"/>
      <c r="HD31" s="134"/>
      <c r="HE31" s="134"/>
      <c r="HF31" s="134"/>
      <c r="HG31" s="134"/>
      <c r="HH31" s="134"/>
      <c r="HI31" s="134"/>
      <c r="HJ31" s="134"/>
      <c r="HK31" s="134"/>
      <c r="HL31" s="134"/>
      <c r="HM31" s="134"/>
      <c r="HN31" s="134"/>
      <c r="HO31" s="134"/>
      <c r="HP31" s="134"/>
      <c r="HQ31" s="134"/>
      <c r="HR31" s="134"/>
      <c r="HS31" s="134"/>
      <c r="HT31" s="134"/>
      <c r="HU31" s="134"/>
      <c r="HV31" s="134"/>
      <c r="HW31" s="134"/>
      <c r="HX31" s="134"/>
      <c r="HY31" s="134"/>
      <c r="HZ31" s="134"/>
      <c r="IA31" s="134"/>
      <c r="IB31" s="134"/>
      <c r="IC31" s="134"/>
      <c r="ID31" s="134"/>
      <c r="IE31" s="134"/>
      <c r="IF31" s="134"/>
      <c r="IG31" s="134"/>
      <c r="IH31" s="134"/>
      <c r="II31" s="134"/>
      <c r="IJ31" s="134"/>
      <c r="IK31" s="134"/>
      <c r="IL31" s="134"/>
      <c r="IM31" s="134"/>
      <c r="IN31" s="134"/>
      <c r="IO31" s="134"/>
      <c r="IP31" s="134"/>
      <c r="IQ31" s="134"/>
      <c r="IR31" s="134"/>
      <c r="IS31" s="134"/>
      <c r="IT31" s="134"/>
      <c r="IU31" s="134"/>
      <c r="IV31" s="134"/>
      <c r="IW31" s="134"/>
      <c r="IX31" s="134"/>
      <c r="IY31" s="134"/>
      <c r="IZ31" s="134"/>
      <c r="JA31" s="134"/>
      <c r="JB31" s="134"/>
      <c r="JC31" s="135"/>
    </row>
    <row r="32" spans="1:263" s="66" customFormat="1" ht="41" customHeight="1" x14ac:dyDescent="0.25">
      <c r="A32" s="157">
        <v>6.3</v>
      </c>
      <c r="B32" s="158" t="s">
        <v>148</v>
      </c>
      <c r="C32" s="159" t="s">
        <v>138</v>
      </c>
      <c r="D32" s="160" t="s">
        <v>153</v>
      </c>
      <c r="E32" s="161">
        <v>45964</v>
      </c>
      <c r="F32" s="162">
        <v>45994</v>
      </c>
      <c r="G32" s="163">
        <v>29</v>
      </c>
      <c r="H32" s="164">
        <v>1</v>
      </c>
      <c r="I32" s="132">
        <v>21</v>
      </c>
      <c r="J32" s="133"/>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c r="BX32" s="134"/>
      <c r="BY32" s="134"/>
      <c r="BZ32" s="134"/>
      <c r="CA32" s="134"/>
      <c r="CB32" s="134"/>
      <c r="CC32" s="134"/>
      <c r="CD32" s="134"/>
      <c r="CE32" s="134"/>
      <c r="CF32" s="134"/>
      <c r="CG32" s="134"/>
      <c r="CH32" s="134"/>
      <c r="CI32" s="134"/>
      <c r="CJ32" s="134"/>
      <c r="CK32" s="134"/>
      <c r="CL32" s="134"/>
      <c r="CM32" s="134"/>
      <c r="CN32" s="134"/>
      <c r="CO32" s="134"/>
      <c r="CP32" s="134"/>
      <c r="CQ32" s="134"/>
      <c r="CR32" s="134"/>
      <c r="CS32" s="134"/>
      <c r="CT32" s="134"/>
      <c r="CU32" s="134"/>
      <c r="CV32" s="134"/>
      <c r="CW32" s="134"/>
      <c r="CX32" s="134"/>
      <c r="CY32" s="134"/>
      <c r="CZ32" s="134"/>
      <c r="DA32" s="134"/>
      <c r="DB32" s="134"/>
      <c r="DC32" s="134"/>
      <c r="DD32" s="134"/>
      <c r="DE32" s="134"/>
      <c r="DF32" s="134"/>
      <c r="DG32" s="134"/>
      <c r="DH32" s="134"/>
      <c r="DI32" s="134"/>
      <c r="DJ32" s="134"/>
      <c r="DK32" s="134"/>
      <c r="DL32" s="134"/>
      <c r="DM32" s="134"/>
      <c r="DN32" s="134"/>
      <c r="DO32" s="134"/>
      <c r="DP32" s="134"/>
      <c r="DQ32" s="134"/>
      <c r="DR32" s="134"/>
      <c r="DS32" s="134"/>
      <c r="DT32" s="134"/>
      <c r="DU32" s="134"/>
      <c r="DV32" s="134"/>
      <c r="DW32" s="134"/>
      <c r="DX32" s="134"/>
      <c r="DY32" s="134"/>
      <c r="DZ32" s="134"/>
      <c r="EA32" s="134"/>
      <c r="EB32" s="134"/>
      <c r="EC32" s="134"/>
      <c r="ED32" s="134"/>
      <c r="EE32" s="134"/>
      <c r="EF32" s="134"/>
      <c r="EG32" s="134"/>
      <c r="EH32" s="134"/>
      <c r="EI32" s="134"/>
      <c r="EJ32" s="134"/>
      <c r="EK32" s="134"/>
      <c r="EL32" s="134"/>
      <c r="EM32" s="134"/>
      <c r="EN32" s="134"/>
      <c r="EO32" s="134"/>
      <c r="EP32" s="134"/>
      <c r="EQ32" s="134"/>
      <c r="ER32" s="134"/>
      <c r="ES32" s="134"/>
      <c r="ET32" s="134"/>
      <c r="EU32" s="134"/>
      <c r="EV32" s="134"/>
      <c r="EW32" s="134"/>
      <c r="EX32" s="134"/>
      <c r="EY32" s="134"/>
      <c r="EZ32" s="134"/>
      <c r="FA32" s="134"/>
      <c r="FB32" s="134"/>
      <c r="FC32" s="134"/>
      <c r="FD32" s="134"/>
      <c r="FE32" s="134"/>
      <c r="FF32" s="134"/>
      <c r="FG32" s="134"/>
      <c r="FH32" s="134"/>
      <c r="FI32" s="134"/>
      <c r="FJ32" s="134"/>
      <c r="FK32" s="134"/>
      <c r="FL32" s="134"/>
      <c r="FM32" s="134"/>
      <c r="FN32" s="134"/>
      <c r="FO32" s="134"/>
      <c r="FP32" s="134"/>
      <c r="FQ32" s="134"/>
      <c r="FR32" s="134"/>
      <c r="FS32" s="134"/>
      <c r="FT32" s="134"/>
      <c r="FU32" s="134"/>
      <c r="FV32" s="134"/>
      <c r="FW32" s="134"/>
      <c r="FX32" s="134"/>
      <c r="FY32" s="134"/>
      <c r="FZ32" s="134"/>
      <c r="GA32" s="134"/>
      <c r="GB32" s="134"/>
      <c r="GC32" s="134"/>
      <c r="GD32" s="134"/>
      <c r="GE32" s="134"/>
      <c r="GF32" s="134"/>
      <c r="GG32" s="134"/>
      <c r="GH32" s="134"/>
      <c r="GI32" s="134"/>
      <c r="GJ32" s="134"/>
      <c r="GK32" s="134"/>
      <c r="GL32" s="134"/>
      <c r="GM32" s="134"/>
      <c r="GN32" s="134"/>
      <c r="GO32" s="134"/>
      <c r="GP32" s="134"/>
      <c r="GQ32" s="134"/>
      <c r="GR32" s="134"/>
      <c r="GS32" s="134"/>
      <c r="GT32" s="134"/>
      <c r="GU32" s="134"/>
      <c r="GV32" s="134"/>
      <c r="GW32" s="134"/>
      <c r="GX32" s="134"/>
      <c r="GY32" s="134"/>
      <c r="GZ32" s="134"/>
      <c r="HA32" s="134"/>
      <c r="HB32" s="134"/>
      <c r="HC32" s="134"/>
      <c r="HD32" s="134"/>
      <c r="HE32" s="134"/>
      <c r="HF32" s="134"/>
      <c r="HG32" s="134"/>
      <c r="HH32" s="134"/>
      <c r="HI32" s="134"/>
      <c r="HJ32" s="134"/>
      <c r="HK32" s="134"/>
      <c r="HL32" s="134"/>
      <c r="HM32" s="134"/>
      <c r="HN32" s="134"/>
      <c r="HO32" s="134"/>
      <c r="HP32" s="134"/>
      <c r="HQ32" s="134"/>
      <c r="HR32" s="134"/>
      <c r="HS32" s="134"/>
      <c r="HT32" s="134"/>
      <c r="HU32" s="134"/>
      <c r="HV32" s="134"/>
      <c r="HW32" s="134"/>
      <c r="HX32" s="134"/>
      <c r="HY32" s="134"/>
      <c r="HZ32" s="134"/>
      <c r="IA32" s="134"/>
      <c r="IB32" s="134"/>
      <c r="IC32" s="134"/>
      <c r="ID32" s="134"/>
      <c r="IE32" s="134"/>
      <c r="IF32" s="134"/>
      <c r="IG32" s="134"/>
      <c r="IH32" s="134"/>
      <c r="II32" s="134"/>
      <c r="IJ32" s="134"/>
      <c r="IK32" s="134"/>
      <c r="IL32" s="134"/>
      <c r="IM32" s="134"/>
      <c r="IN32" s="134"/>
      <c r="IO32" s="134"/>
      <c r="IP32" s="134"/>
      <c r="IQ32" s="134"/>
      <c r="IR32" s="134"/>
      <c r="IS32" s="134"/>
      <c r="IT32" s="134"/>
      <c r="IU32" s="134"/>
      <c r="IV32" s="134"/>
      <c r="IW32" s="134"/>
      <c r="IX32" s="134"/>
      <c r="IY32" s="134"/>
      <c r="IZ32" s="134"/>
      <c r="JA32" s="134"/>
      <c r="JB32" s="134"/>
      <c r="JC32" s="135"/>
    </row>
    <row r="33" spans="1:263" s="67" customFormat="1" ht="46.5" customHeight="1" x14ac:dyDescent="0.25">
      <c r="A33" s="165">
        <v>7</v>
      </c>
      <c r="B33" s="166" t="s">
        <v>149</v>
      </c>
      <c r="C33" s="167"/>
      <c r="D33" s="168"/>
      <c r="E33" s="169"/>
      <c r="F33" s="170"/>
      <c r="G33" s="171"/>
      <c r="H33" s="172"/>
      <c r="I33" s="136"/>
      <c r="J33" s="137"/>
      <c r="K33" s="138"/>
      <c r="L33" s="138"/>
      <c r="M33" s="138"/>
      <c r="N33" s="138"/>
      <c r="O33" s="138"/>
      <c r="P33" s="138"/>
      <c r="Q33" s="138"/>
      <c r="R33" s="138"/>
      <c r="S33" s="138"/>
      <c r="T33" s="138"/>
      <c r="U33" s="138"/>
      <c r="V33" s="138"/>
      <c r="W33" s="138"/>
      <c r="X33" s="138"/>
      <c r="Y33" s="138"/>
      <c r="Z33" s="138"/>
      <c r="AA33" s="138"/>
      <c r="AB33" s="138"/>
      <c r="AC33" s="138"/>
      <c r="AD33" s="138"/>
      <c r="AE33" s="138"/>
      <c r="AF33" s="138"/>
      <c r="AG33" s="138"/>
      <c r="AH33" s="138"/>
      <c r="AI33" s="138"/>
      <c r="AJ33" s="138"/>
      <c r="AK33" s="138"/>
      <c r="AL33" s="138"/>
      <c r="AM33" s="138"/>
      <c r="AN33" s="138"/>
      <c r="AO33" s="138"/>
      <c r="AP33" s="138"/>
      <c r="AQ33" s="138"/>
      <c r="AR33" s="138"/>
      <c r="AS33" s="138"/>
      <c r="AT33" s="138"/>
      <c r="AU33" s="138"/>
      <c r="AV33" s="138"/>
      <c r="AW33" s="138"/>
      <c r="AX33" s="138"/>
      <c r="AY33" s="138"/>
      <c r="AZ33" s="138"/>
      <c r="BA33" s="138"/>
      <c r="BB33" s="138"/>
      <c r="BC33" s="138"/>
      <c r="BD33" s="138"/>
      <c r="BE33" s="138"/>
      <c r="BF33" s="138"/>
      <c r="BG33" s="138"/>
      <c r="BH33" s="138"/>
      <c r="BI33" s="138"/>
      <c r="BJ33" s="138"/>
      <c r="BK33" s="138"/>
      <c r="BL33" s="138"/>
      <c r="BM33" s="138"/>
      <c r="BN33" s="138"/>
      <c r="BO33" s="138"/>
      <c r="BP33" s="138"/>
      <c r="BQ33" s="138"/>
      <c r="BR33" s="138"/>
      <c r="BS33" s="138"/>
      <c r="BT33" s="138"/>
      <c r="BU33" s="138"/>
      <c r="BV33" s="138"/>
      <c r="BW33" s="138"/>
      <c r="BX33" s="138"/>
      <c r="BY33" s="138"/>
      <c r="BZ33" s="138"/>
      <c r="CA33" s="138"/>
      <c r="CB33" s="138"/>
      <c r="CC33" s="138"/>
      <c r="CD33" s="138"/>
      <c r="CE33" s="138"/>
      <c r="CF33" s="138"/>
      <c r="CG33" s="138"/>
      <c r="CH33" s="138"/>
      <c r="CI33" s="138"/>
      <c r="CJ33" s="138"/>
      <c r="CK33" s="138"/>
      <c r="CL33" s="138"/>
      <c r="CM33" s="138"/>
      <c r="CN33" s="138"/>
      <c r="CO33" s="138"/>
      <c r="CP33" s="138"/>
      <c r="CQ33" s="138"/>
      <c r="CR33" s="138"/>
      <c r="CS33" s="138"/>
      <c r="CT33" s="138"/>
      <c r="CU33" s="138"/>
      <c r="CV33" s="138"/>
      <c r="CW33" s="138"/>
      <c r="CX33" s="138"/>
      <c r="CY33" s="138"/>
      <c r="CZ33" s="138"/>
      <c r="DA33" s="138"/>
      <c r="DB33" s="138"/>
      <c r="DC33" s="138"/>
      <c r="DD33" s="138"/>
      <c r="DE33" s="138"/>
      <c r="DF33" s="138"/>
      <c r="DG33" s="138"/>
      <c r="DH33" s="138"/>
      <c r="DI33" s="138"/>
      <c r="DJ33" s="138"/>
      <c r="DK33" s="138"/>
      <c r="DL33" s="138"/>
      <c r="DM33" s="138"/>
      <c r="DN33" s="138"/>
      <c r="DO33" s="138"/>
      <c r="DP33" s="138"/>
      <c r="DQ33" s="138"/>
      <c r="DR33" s="138"/>
      <c r="DS33" s="138"/>
      <c r="DT33" s="138"/>
      <c r="DU33" s="138"/>
      <c r="DV33" s="138"/>
      <c r="DW33" s="138"/>
      <c r="DX33" s="138"/>
      <c r="DY33" s="138"/>
      <c r="DZ33" s="138"/>
      <c r="EA33" s="138"/>
      <c r="EB33" s="138"/>
      <c r="EC33" s="138"/>
      <c r="ED33" s="138"/>
      <c r="EE33" s="138"/>
      <c r="EF33" s="138"/>
      <c r="EG33" s="138"/>
      <c r="EH33" s="138"/>
      <c r="EI33" s="138"/>
      <c r="EJ33" s="138"/>
      <c r="EK33" s="138"/>
      <c r="EL33" s="138"/>
      <c r="EM33" s="138"/>
      <c r="EN33" s="138"/>
      <c r="EO33" s="138"/>
      <c r="EP33" s="138"/>
      <c r="EQ33" s="138"/>
      <c r="ER33" s="138"/>
      <c r="ES33" s="138"/>
      <c r="ET33" s="138"/>
      <c r="EU33" s="138"/>
      <c r="EV33" s="138"/>
      <c r="EW33" s="138"/>
      <c r="EX33" s="138"/>
      <c r="EY33" s="138"/>
      <c r="EZ33" s="138"/>
      <c r="FA33" s="138"/>
      <c r="FB33" s="138"/>
      <c r="FC33" s="138"/>
      <c r="FD33" s="138"/>
      <c r="FE33" s="138"/>
      <c r="FF33" s="138"/>
      <c r="FG33" s="138"/>
      <c r="FH33" s="138"/>
      <c r="FI33" s="138"/>
      <c r="FJ33" s="138"/>
      <c r="FK33" s="138"/>
      <c r="FL33" s="138"/>
      <c r="FM33" s="138"/>
      <c r="FN33" s="138"/>
      <c r="FO33" s="138"/>
      <c r="FP33" s="138"/>
      <c r="FQ33" s="138"/>
      <c r="FR33" s="138"/>
      <c r="FS33" s="138"/>
      <c r="FT33" s="138"/>
      <c r="FU33" s="138"/>
      <c r="FV33" s="138"/>
      <c r="FW33" s="138"/>
      <c r="FX33" s="138"/>
      <c r="FY33" s="138"/>
      <c r="FZ33" s="138"/>
      <c r="GA33" s="138"/>
      <c r="GB33" s="138"/>
      <c r="GC33" s="138"/>
      <c r="GD33" s="138"/>
      <c r="GE33" s="138"/>
      <c r="GF33" s="138"/>
      <c r="GG33" s="138"/>
      <c r="GH33" s="138"/>
      <c r="GI33" s="138"/>
      <c r="GJ33" s="138"/>
      <c r="GK33" s="138"/>
      <c r="GL33" s="138"/>
      <c r="GM33" s="138"/>
      <c r="GN33" s="138"/>
      <c r="GO33" s="138"/>
      <c r="GP33" s="138"/>
      <c r="GQ33" s="138"/>
      <c r="GR33" s="138"/>
      <c r="GS33" s="138"/>
      <c r="GT33" s="138"/>
      <c r="GU33" s="138"/>
      <c r="GV33" s="138"/>
      <c r="GW33" s="138"/>
      <c r="GX33" s="138"/>
      <c r="GY33" s="138"/>
      <c r="GZ33" s="138"/>
      <c r="HA33" s="138"/>
      <c r="HB33" s="138"/>
      <c r="HC33" s="138"/>
      <c r="HD33" s="138"/>
      <c r="HE33" s="138"/>
      <c r="HF33" s="138"/>
      <c r="HG33" s="138"/>
      <c r="HH33" s="138"/>
      <c r="HI33" s="138"/>
      <c r="HJ33" s="138"/>
      <c r="HK33" s="138"/>
      <c r="HL33" s="138"/>
      <c r="HM33" s="138"/>
      <c r="HN33" s="138"/>
      <c r="HO33" s="138"/>
      <c r="HP33" s="138"/>
      <c r="HQ33" s="138"/>
      <c r="HR33" s="138"/>
      <c r="HS33" s="138"/>
      <c r="HT33" s="138"/>
      <c r="HU33" s="138"/>
      <c r="HV33" s="138"/>
      <c r="HW33" s="138"/>
      <c r="HX33" s="138"/>
      <c r="HY33" s="138"/>
      <c r="HZ33" s="138"/>
      <c r="IA33" s="138"/>
      <c r="IB33" s="138"/>
      <c r="IC33" s="138"/>
      <c r="ID33" s="138"/>
      <c r="IE33" s="138"/>
      <c r="IF33" s="138"/>
      <c r="IG33" s="138"/>
      <c r="IH33" s="138"/>
      <c r="II33" s="138"/>
      <c r="IJ33" s="138"/>
      <c r="IK33" s="138"/>
      <c r="IL33" s="138"/>
      <c r="IM33" s="138"/>
      <c r="IN33" s="138"/>
      <c r="IO33" s="138"/>
      <c r="IP33" s="138"/>
      <c r="IQ33" s="138"/>
      <c r="IR33" s="138"/>
      <c r="IS33" s="138"/>
      <c r="IT33" s="138"/>
      <c r="IU33" s="138"/>
      <c r="IV33" s="138"/>
      <c r="IW33" s="138"/>
      <c r="IX33" s="138"/>
      <c r="IY33" s="138"/>
      <c r="IZ33" s="138"/>
      <c r="JA33" s="138"/>
      <c r="JB33" s="138"/>
      <c r="JC33" s="139"/>
    </row>
    <row r="34" spans="1:263" s="66" customFormat="1" ht="41" customHeight="1" x14ac:dyDescent="0.25">
      <c r="A34" s="157">
        <v>7.1</v>
      </c>
      <c r="B34" s="158" t="s">
        <v>150</v>
      </c>
      <c r="C34" s="159" t="s">
        <v>138</v>
      </c>
      <c r="D34" s="160" t="s">
        <v>153</v>
      </c>
      <c r="E34" s="161">
        <v>45953</v>
      </c>
      <c r="F34" s="162">
        <v>45969</v>
      </c>
      <c r="G34" s="163">
        <v>17</v>
      </c>
      <c r="H34" s="164">
        <v>1</v>
      </c>
      <c r="I34" s="132">
        <v>6</v>
      </c>
      <c r="J34" s="133"/>
      <c r="K34" s="134"/>
      <c r="L34" s="134"/>
      <c r="M34" s="134"/>
      <c r="N34" s="134"/>
      <c r="O34" s="134"/>
      <c r="P34" s="134"/>
      <c r="Q34" s="134"/>
      <c r="R34" s="134"/>
      <c r="S34" s="134"/>
      <c r="T34" s="134"/>
      <c r="U34" s="134"/>
      <c r="V34" s="134"/>
      <c r="W34" s="134"/>
      <c r="X34" s="134"/>
      <c r="Y34" s="134"/>
      <c r="Z34" s="134"/>
      <c r="AA34" s="134"/>
      <c r="AB34" s="134"/>
      <c r="AC34" s="134"/>
      <c r="AD34" s="134"/>
      <c r="AE34" s="134"/>
      <c r="AF34" s="134"/>
      <c r="AG34" s="134"/>
      <c r="AH34" s="134"/>
      <c r="AI34" s="134"/>
      <c r="AJ34" s="134"/>
      <c r="AK34" s="134"/>
      <c r="AL34" s="134"/>
      <c r="AM34" s="134"/>
      <c r="AN34" s="134"/>
      <c r="AO34" s="134"/>
      <c r="AP34" s="134"/>
      <c r="AQ34" s="134"/>
      <c r="AR34" s="134"/>
      <c r="AS34" s="134"/>
      <c r="AT34" s="134"/>
      <c r="AU34" s="134"/>
      <c r="AV34" s="134"/>
      <c r="AW34" s="134"/>
      <c r="AX34" s="134"/>
      <c r="AY34" s="134"/>
      <c r="AZ34" s="134"/>
      <c r="BA34" s="134"/>
      <c r="BB34" s="134"/>
      <c r="BC34" s="134"/>
      <c r="BD34" s="134"/>
      <c r="BE34" s="134"/>
      <c r="BF34" s="134"/>
      <c r="BG34" s="134"/>
      <c r="BH34" s="134"/>
      <c r="BI34" s="134"/>
      <c r="BJ34" s="134"/>
      <c r="BK34" s="134"/>
      <c r="BL34" s="134"/>
      <c r="BM34" s="134"/>
      <c r="BN34" s="134"/>
      <c r="BO34" s="134"/>
      <c r="BP34" s="134"/>
      <c r="BQ34" s="134"/>
      <c r="BR34" s="134"/>
      <c r="BS34" s="134"/>
      <c r="BT34" s="134"/>
      <c r="BU34" s="134"/>
      <c r="BV34" s="134"/>
      <c r="BW34" s="134"/>
      <c r="BX34" s="134"/>
      <c r="BY34" s="134"/>
      <c r="BZ34" s="134"/>
      <c r="CA34" s="134"/>
      <c r="CB34" s="134"/>
      <c r="CC34" s="134"/>
      <c r="CD34" s="134"/>
      <c r="CE34" s="134"/>
      <c r="CF34" s="134"/>
      <c r="CG34" s="134"/>
      <c r="CH34" s="134"/>
      <c r="CI34" s="134"/>
      <c r="CJ34" s="134"/>
      <c r="CK34" s="134"/>
      <c r="CL34" s="134"/>
      <c r="CM34" s="134"/>
      <c r="CN34" s="134"/>
      <c r="CO34" s="134"/>
      <c r="CP34" s="134"/>
      <c r="CQ34" s="134"/>
      <c r="CR34" s="134"/>
      <c r="CS34" s="134"/>
      <c r="CT34" s="134"/>
      <c r="CU34" s="134"/>
      <c r="CV34" s="134"/>
      <c r="CW34" s="134"/>
      <c r="CX34" s="134"/>
      <c r="CY34" s="134"/>
      <c r="CZ34" s="134"/>
      <c r="DA34" s="134"/>
      <c r="DB34" s="134"/>
      <c r="DC34" s="134"/>
      <c r="DD34" s="134"/>
      <c r="DE34" s="134"/>
      <c r="DF34" s="134"/>
      <c r="DG34" s="134"/>
      <c r="DH34" s="134"/>
      <c r="DI34" s="134"/>
      <c r="DJ34" s="134"/>
      <c r="DK34" s="134"/>
      <c r="DL34" s="134"/>
      <c r="DM34" s="134"/>
      <c r="DN34" s="134"/>
      <c r="DO34" s="134"/>
      <c r="DP34" s="134"/>
      <c r="DQ34" s="134"/>
      <c r="DR34" s="134"/>
      <c r="DS34" s="134"/>
      <c r="DT34" s="134"/>
      <c r="DU34" s="134"/>
      <c r="DV34" s="134"/>
      <c r="DW34" s="134"/>
      <c r="DX34" s="134"/>
      <c r="DY34" s="134"/>
      <c r="DZ34" s="134"/>
      <c r="EA34" s="134"/>
      <c r="EB34" s="134"/>
      <c r="EC34" s="134"/>
      <c r="ED34" s="134"/>
      <c r="EE34" s="134"/>
      <c r="EF34" s="134"/>
      <c r="EG34" s="134"/>
      <c r="EH34" s="134"/>
      <c r="EI34" s="134"/>
      <c r="EJ34" s="134"/>
      <c r="EK34" s="134"/>
      <c r="EL34" s="134"/>
      <c r="EM34" s="134"/>
      <c r="EN34" s="134"/>
      <c r="EO34" s="134"/>
      <c r="EP34" s="134"/>
      <c r="EQ34" s="134"/>
      <c r="ER34" s="134"/>
      <c r="ES34" s="134"/>
      <c r="ET34" s="134"/>
      <c r="EU34" s="134"/>
      <c r="EV34" s="134"/>
      <c r="EW34" s="134"/>
      <c r="EX34" s="134"/>
      <c r="EY34" s="134"/>
      <c r="EZ34" s="134"/>
      <c r="FA34" s="134"/>
      <c r="FB34" s="134"/>
      <c r="FC34" s="134"/>
      <c r="FD34" s="134"/>
      <c r="FE34" s="134"/>
      <c r="FF34" s="134"/>
      <c r="FG34" s="134"/>
      <c r="FH34" s="134"/>
      <c r="FI34" s="134"/>
      <c r="FJ34" s="134"/>
      <c r="FK34" s="134"/>
      <c r="FL34" s="134"/>
      <c r="FM34" s="134"/>
      <c r="FN34" s="134"/>
      <c r="FO34" s="134"/>
      <c r="FP34" s="134"/>
      <c r="FQ34" s="134"/>
      <c r="FR34" s="134"/>
      <c r="FS34" s="134"/>
      <c r="FT34" s="134"/>
      <c r="FU34" s="134"/>
      <c r="FV34" s="134"/>
      <c r="FW34" s="134"/>
      <c r="FX34" s="134"/>
      <c r="FY34" s="134"/>
      <c r="FZ34" s="134"/>
      <c r="GA34" s="134"/>
      <c r="GB34" s="134"/>
      <c r="GC34" s="134"/>
      <c r="GD34" s="134"/>
      <c r="GE34" s="134"/>
      <c r="GF34" s="134"/>
      <c r="GG34" s="134"/>
      <c r="GH34" s="134"/>
      <c r="GI34" s="134"/>
      <c r="GJ34" s="134"/>
      <c r="GK34" s="134"/>
      <c r="GL34" s="134"/>
      <c r="GM34" s="134"/>
      <c r="GN34" s="134"/>
      <c r="GO34" s="134"/>
      <c r="GP34" s="134"/>
      <c r="GQ34" s="134"/>
      <c r="GR34" s="134"/>
      <c r="GS34" s="134"/>
      <c r="GT34" s="134"/>
      <c r="GU34" s="134"/>
      <c r="GV34" s="134"/>
      <c r="GW34" s="134"/>
      <c r="GX34" s="134"/>
      <c r="GY34" s="134"/>
      <c r="GZ34" s="134"/>
      <c r="HA34" s="134"/>
      <c r="HB34" s="134"/>
      <c r="HC34" s="134"/>
      <c r="HD34" s="134"/>
      <c r="HE34" s="134"/>
      <c r="HF34" s="134"/>
      <c r="HG34" s="134"/>
      <c r="HH34" s="134"/>
      <c r="HI34" s="134"/>
      <c r="HJ34" s="134"/>
      <c r="HK34" s="134"/>
      <c r="HL34" s="134"/>
      <c r="HM34" s="134"/>
      <c r="HN34" s="134"/>
      <c r="HO34" s="134"/>
      <c r="HP34" s="134"/>
      <c r="HQ34" s="134"/>
      <c r="HR34" s="134"/>
      <c r="HS34" s="134"/>
      <c r="HT34" s="134"/>
      <c r="HU34" s="134"/>
      <c r="HV34" s="134"/>
      <c r="HW34" s="134"/>
      <c r="HX34" s="134"/>
      <c r="HY34" s="134"/>
      <c r="HZ34" s="134"/>
      <c r="IA34" s="134"/>
      <c r="IB34" s="134"/>
      <c r="IC34" s="134"/>
      <c r="ID34" s="134"/>
      <c r="IE34" s="134"/>
      <c r="IF34" s="134"/>
      <c r="IG34" s="134"/>
      <c r="IH34" s="134"/>
      <c r="II34" s="134"/>
      <c r="IJ34" s="134"/>
      <c r="IK34" s="134"/>
      <c r="IL34" s="134"/>
      <c r="IM34" s="134"/>
      <c r="IN34" s="134"/>
      <c r="IO34" s="134"/>
      <c r="IP34" s="134"/>
      <c r="IQ34" s="134"/>
      <c r="IR34" s="134"/>
      <c r="IS34" s="134"/>
      <c r="IT34" s="134"/>
      <c r="IU34" s="134"/>
      <c r="IV34" s="134"/>
      <c r="IW34" s="134"/>
      <c r="IX34" s="134"/>
      <c r="IY34" s="134"/>
      <c r="IZ34" s="134"/>
      <c r="JA34" s="134"/>
      <c r="JB34" s="134"/>
      <c r="JC34" s="135"/>
    </row>
    <row r="35" spans="1:263" s="67" customFormat="1" ht="45.5" customHeight="1" x14ac:dyDescent="0.25">
      <c r="A35" s="165">
        <v>8</v>
      </c>
      <c r="B35" s="166" t="s">
        <v>158</v>
      </c>
      <c r="C35" s="167"/>
      <c r="D35" s="168"/>
      <c r="E35" s="169"/>
      <c r="F35" s="170"/>
      <c r="G35" s="171"/>
      <c r="H35" s="172"/>
      <c r="I35" s="136"/>
      <c r="J35" s="137"/>
      <c r="K35" s="138"/>
      <c r="L35" s="138"/>
      <c r="M35" s="138"/>
      <c r="N35" s="138"/>
      <c r="O35" s="138"/>
      <c r="P35" s="138"/>
      <c r="Q35" s="138"/>
      <c r="R35" s="138"/>
      <c r="S35" s="138"/>
      <c r="T35" s="138"/>
      <c r="U35" s="138"/>
      <c r="V35" s="138"/>
      <c r="W35" s="138"/>
      <c r="X35" s="138"/>
      <c r="Y35" s="138"/>
      <c r="Z35" s="138"/>
      <c r="AA35" s="138"/>
      <c r="AB35" s="138"/>
      <c r="AC35" s="138"/>
      <c r="AD35" s="138"/>
      <c r="AE35" s="138"/>
      <c r="AF35" s="138"/>
      <c r="AG35" s="138"/>
      <c r="AH35" s="138"/>
      <c r="AI35" s="138"/>
      <c r="AJ35" s="138"/>
      <c r="AK35" s="138"/>
      <c r="AL35" s="138"/>
      <c r="AM35" s="138"/>
      <c r="AN35" s="138"/>
      <c r="AO35" s="138"/>
      <c r="AP35" s="138"/>
      <c r="AQ35" s="138"/>
      <c r="AR35" s="138"/>
      <c r="AS35" s="138"/>
      <c r="AT35" s="138"/>
      <c r="AU35" s="138"/>
      <c r="AV35" s="138"/>
      <c r="AW35" s="138"/>
      <c r="AX35" s="138"/>
      <c r="AY35" s="138"/>
      <c r="AZ35" s="138"/>
      <c r="BA35" s="138"/>
      <c r="BB35" s="138"/>
      <c r="BC35" s="138"/>
      <c r="BD35" s="138"/>
      <c r="BE35" s="138"/>
      <c r="BF35" s="138"/>
      <c r="BG35" s="138"/>
      <c r="BH35" s="138"/>
      <c r="BI35" s="138"/>
      <c r="BJ35" s="138"/>
      <c r="BK35" s="138"/>
      <c r="BL35" s="138"/>
      <c r="BM35" s="138"/>
      <c r="BN35" s="138"/>
      <c r="BO35" s="138"/>
      <c r="BP35" s="138"/>
      <c r="BQ35" s="138"/>
      <c r="BR35" s="138"/>
      <c r="BS35" s="138"/>
      <c r="BT35" s="138"/>
      <c r="BU35" s="138"/>
      <c r="BV35" s="138"/>
      <c r="BW35" s="138"/>
      <c r="BX35" s="138"/>
      <c r="BY35" s="138"/>
      <c r="BZ35" s="138"/>
      <c r="CA35" s="138"/>
      <c r="CB35" s="138"/>
      <c r="CC35" s="138"/>
      <c r="CD35" s="138"/>
      <c r="CE35" s="138"/>
      <c r="CF35" s="138"/>
      <c r="CG35" s="138"/>
      <c r="CH35" s="138"/>
      <c r="CI35" s="138"/>
      <c r="CJ35" s="138"/>
      <c r="CK35" s="138"/>
      <c r="CL35" s="138"/>
      <c r="CM35" s="138"/>
      <c r="CN35" s="138"/>
      <c r="CO35" s="138"/>
      <c r="CP35" s="138"/>
      <c r="CQ35" s="138"/>
      <c r="CR35" s="138"/>
      <c r="CS35" s="138"/>
      <c r="CT35" s="138"/>
      <c r="CU35" s="138"/>
      <c r="CV35" s="138"/>
      <c r="CW35" s="138"/>
      <c r="CX35" s="138"/>
      <c r="CY35" s="138"/>
      <c r="CZ35" s="138"/>
      <c r="DA35" s="138"/>
      <c r="DB35" s="138"/>
      <c r="DC35" s="138"/>
      <c r="DD35" s="138"/>
      <c r="DE35" s="138"/>
      <c r="DF35" s="138"/>
      <c r="DG35" s="138"/>
      <c r="DH35" s="138"/>
      <c r="DI35" s="138"/>
      <c r="DJ35" s="138"/>
      <c r="DK35" s="138"/>
      <c r="DL35" s="138"/>
      <c r="DM35" s="138"/>
      <c r="DN35" s="138"/>
      <c r="DO35" s="138"/>
      <c r="DP35" s="138"/>
      <c r="DQ35" s="138"/>
      <c r="DR35" s="138"/>
      <c r="DS35" s="138"/>
      <c r="DT35" s="138"/>
      <c r="DU35" s="138"/>
      <c r="DV35" s="138"/>
      <c r="DW35" s="138"/>
      <c r="DX35" s="138"/>
      <c r="DY35" s="138"/>
      <c r="DZ35" s="138"/>
      <c r="EA35" s="138"/>
      <c r="EB35" s="138"/>
      <c r="EC35" s="138"/>
      <c r="ED35" s="138"/>
      <c r="EE35" s="138"/>
      <c r="EF35" s="138"/>
      <c r="EG35" s="138"/>
      <c r="EH35" s="138"/>
      <c r="EI35" s="138"/>
      <c r="EJ35" s="138"/>
      <c r="EK35" s="138"/>
      <c r="EL35" s="138"/>
      <c r="EM35" s="138"/>
      <c r="EN35" s="138"/>
      <c r="EO35" s="138"/>
      <c r="EP35" s="138"/>
      <c r="EQ35" s="138"/>
      <c r="ER35" s="138"/>
      <c r="ES35" s="138"/>
      <c r="ET35" s="138"/>
      <c r="EU35" s="138"/>
      <c r="EV35" s="138"/>
      <c r="EW35" s="138"/>
      <c r="EX35" s="138"/>
      <c r="EY35" s="138"/>
      <c r="EZ35" s="138"/>
      <c r="FA35" s="138"/>
      <c r="FB35" s="138"/>
      <c r="FC35" s="138"/>
      <c r="FD35" s="138"/>
      <c r="FE35" s="138"/>
      <c r="FF35" s="138"/>
      <c r="FG35" s="138"/>
      <c r="FH35" s="138"/>
      <c r="FI35" s="138"/>
      <c r="FJ35" s="138"/>
      <c r="FK35" s="138"/>
      <c r="FL35" s="138"/>
      <c r="FM35" s="138"/>
      <c r="FN35" s="138"/>
      <c r="FO35" s="138"/>
      <c r="FP35" s="138"/>
      <c r="FQ35" s="138"/>
      <c r="FR35" s="138"/>
      <c r="FS35" s="138"/>
      <c r="FT35" s="138"/>
      <c r="FU35" s="138"/>
      <c r="FV35" s="138"/>
      <c r="FW35" s="138"/>
      <c r="FX35" s="138"/>
      <c r="FY35" s="138"/>
      <c r="FZ35" s="138"/>
      <c r="GA35" s="138"/>
      <c r="GB35" s="138"/>
      <c r="GC35" s="138"/>
      <c r="GD35" s="138"/>
      <c r="GE35" s="138"/>
      <c r="GF35" s="138"/>
      <c r="GG35" s="138"/>
      <c r="GH35" s="138"/>
      <c r="GI35" s="138"/>
      <c r="GJ35" s="138"/>
      <c r="GK35" s="138"/>
      <c r="GL35" s="138"/>
      <c r="GM35" s="138"/>
      <c r="GN35" s="138"/>
      <c r="GO35" s="138"/>
      <c r="GP35" s="138"/>
      <c r="GQ35" s="138"/>
      <c r="GR35" s="138"/>
      <c r="GS35" s="138"/>
      <c r="GT35" s="138"/>
      <c r="GU35" s="138"/>
      <c r="GV35" s="138"/>
      <c r="GW35" s="138"/>
      <c r="GX35" s="138"/>
      <c r="GY35" s="138"/>
      <c r="GZ35" s="138"/>
      <c r="HA35" s="138"/>
      <c r="HB35" s="138"/>
      <c r="HC35" s="138"/>
      <c r="HD35" s="138"/>
      <c r="HE35" s="138"/>
      <c r="HF35" s="138"/>
      <c r="HG35" s="138"/>
      <c r="HH35" s="138"/>
      <c r="HI35" s="138"/>
      <c r="HJ35" s="138"/>
      <c r="HK35" s="138"/>
      <c r="HL35" s="138"/>
      <c r="HM35" s="138"/>
      <c r="HN35" s="138"/>
      <c r="HO35" s="138"/>
      <c r="HP35" s="138"/>
      <c r="HQ35" s="138"/>
      <c r="HR35" s="138"/>
      <c r="HS35" s="138"/>
      <c r="HT35" s="138"/>
      <c r="HU35" s="138"/>
      <c r="HV35" s="138"/>
      <c r="HW35" s="138"/>
      <c r="HX35" s="138"/>
      <c r="HY35" s="138"/>
      <c r="HZ35" s="138"/>
      <c r="IA35" s="138"/>
      <c r="IB35" s="138"/>
      <c r="IC35" s="138"/>
      <c r="ID35" s="138"/>
      <c r="IE35" s="138"/>
      <c r="IF35" s="138"/>
      <c r="IG35" s="138"/>
      <c r="IH35" s="138"/>
      <c r="II35" s="138"/>
      <c r="IJ35" s="138"/>
      <c r="IK35" s="138"/>
      <c r="IL35" s="138"/>
      <c r="IM35" s="138"/>
      <c r="IN35" s="138"/>
      <c r="IO35" s="138"/>
      <c r="IP35" s="138"/>
      <c r="IQ35" s="138"/>
      <c r="IR35" s="138"/>
      <c r="IS35" s="138"/>
      <c r="IT35" s="138"/>
      <c r="IU35" s="138"/>
      <c r="IV35" s="138"/>
      <c r="IW35" s="138"/>
      <c r="IX35" s="138"/>
      <c r="IY35" s="138"/>
      <c r="IZ35" s="138"/>
      <c r="JA35" s="138"/>
      <c r="JB35" s="138"/>
      <c r="JC35" s="139"/>
    </row>
    <row r="36" spans="1:263" s="66" customFormat="1" ht="40" customHeight="1" x14ac:dyDescent="0.25">
      <c r="A36" s="157">
        <v>8.1</v>
      </c>
      <c r="B36" s="158" t="s">
        <v>151</v>
      </c>
      <c r="C36" s="159" t="s">
        <v>138</v>
      </c>
      <c r="D36" s="160" t="s">
        <v>153</v>
      </c>
      <c r="E36" s="161">
        <v>45993</v>
      </c>
      <c r="F36" s="162">
        <v>46011</v>
      </c>
      <c r="G36" s="163">
        <v>19</v>
      </c>
      <c r="H36" s="164">
        <v>1</v>
      </c>
      <c r="I36" s="132">
        <v>13</v>
      </c>
      <c r="J36" s="133"/>
      <c r="K36" s="134"/>
      <c r="L36" s="134"/>
      <c r="M36" s="134"/>
      <c r="N36" s="134"/>
      <c r="O36" s="134"/>
      <c r="P36" s="134"/>
      <c r="Q36" s="134"/>
      <c r="R36" s="134"/>
      <c r="S36" s="134"/>
      <c r="T36" s="134"/>
      <c r="U36" s="134"/>
      <c r="V36" s="134"/>
      <c r="W36" s="134"/>
      <c r="X36" s="134"/>
      <c r="Y36" s="134"/>
      <c r="Z36" s="134"/>
      <c r="AA36" s="134"/>
      <c r="AB36" s="134"/>
      <c r="AC36" s="134"/>
      <c r="AD36" s="134"/>
      <c r="AE36" s="134"/>
      <c r="AF36" s="134"/>
      <c r="AG36" s="134"/>
      <c r="AH36" s="134"/>
      <c r="AI36" s="134"/>
      <c r="AJ36" s="134"/>
      <c r="AK36" s="134"/>
      <c r="AL36" s="134"/>
      <c r="AM36" s="134"/>
      <c r="AN36" s="134"/>
      <c r="AO36" s="134"/>
      <c r="AP36" s="134"/>
      <c r="AQ36" s="134"/>
      <c r="AR36" s="134"/>
      <c r="AS36" s="134"/>
      <c r="AT36" s="134"/>
      <c r="AU36" s="134"/>
      <c r="AV36" s="134"/>
      <c r="AW36" s="134"/>
      <c r="AX36" s="134"/>
      <c r="AY36" s="134"/>
      <c r="AZ36" s="134"/>
      <c r="BA36" s="134"/>
      <c r="BB36" s="134"/>
      <c r="BC36" s="134"/>
      <c r="BD36" s="134"/>
      <c r="BE36" s="134"/>
      <c r="BF36" s="134"/>
      <c r="BG36" s="134"/>
      <c r="BH36" s="134"/>
      <c r="BI36" s="134"/>
      <c r="BJ36" s="134"/>
      <c r="BK36" s="134"/>
      <c r="BL36" s="134"/>
      <c r="BM36" s="134"/>
      <c r="BN36" s="134"/>
      <c r="BO36" s="134"/>
      <c r="BP36" s="134"/>
      <c r="BQ36" s="134"/>
      <c r="BR36" s="134"/>
      <c r="BS36" s="134"/>
      <c r="BT36" s="134"/>
      <c r="BU36" s="134"/>
      <c r="BV36" s="134"/>
      <c r="BW36" s="134"/>
      <c r="BX36" s="134"/>
      <c r="BY36" s="134"/>
      <c r="BZ36" s="134"/>
      <c r="CA36" s="134"/>
      <c r="CB36" s="134"/>
      <c r="CC36" s="134"/>
      <c r="CD36" s="134"/>
      <c r="CE36" s="134"/>
      <c r="CF36" s="134"/>
      <c r="CG36" s="134"/>
      <c r="CH36" s="134"/>
      <c r="CI36" s="134"/>
      <c r="CJ36" s="134"/>
      <c r="CK36" s="134"/>
      <c r="CL36" s="134"/>
      <c r="CM36" s="134"/>
      <c r="CN36" s="134"/>
      <c r="CO36" s="134"/>
      <c r="CP36" s="134"/>
      <c r="CQ36" s="134"/>
      <c r="CR36" s="134"/>
      <c r="CS36" s="134"/>
      <c r="CT36" s="134"/>
      <c r="CU36" s="134"/>
      <c r="CV36" s="134"/>
      <c r="CW36" s="134"/>
      <c r="CX36" s="134"/>
      <c r="CY36" s="134"/>
      <c r="CZ36" s="134"/>
      <c r="DA36" s="134"/>
      <c r="DB36" s="134"/>
      <c r="DC36" s="134"/>
      <c r="DD36" s="134"/>
      <c r="DE36" s="134"/>
      <c r="DF36" s="134"/>
      <c r="DG36" s="134"/>
      <c r="DH36" s="134"/>
      <c r="DI36" s="134"/>
      <c r="DJ36" s="134"/>
      <c r="DK36" s="134"/>
      <c r="DL36" s="134"/>
      <c r="DM36" s="134"/>
      <c r="DN36" s="134"/>
      <c r="DO36" s="134"/>
      <c r="DP36" s="134"/>
      <c r="DQ36" s="134"/>
      <c r="DR36" s="134"/>
      <c r="DS36" s="134"/>
      <c r="DT36" s="134"/>
      <c r="DU36" s="134"/>
      <c r="DV36" s="134"/>
      <c r="DW36" s="134"/>
      <c r="DX36" s="134"/>
      <c r="DY36" s="134"/>
      <c r="DZ36" s="134"/>
      <c r="EA36" s="134"/>
      <c r="EB36" s="134"/>
      <c r="EC36" s="134"/>
      <c r="ED36" s="134"/>
      <c r="EE36" s="134"/>
      <c r="EF36" s="134"/>
      <c r="EG36" s="134"/>
      <c r="EH36" s="134"/>
      <c r="EI36" s="134"/>
      <c r="EJ36" s="134"/>
      <c r="EK36" s="134"/>
      <c r="EL36" s="134"/>
      <c r="EM36" s="134"/>
      <c r="EN36" s="134"/>
      <c r="EO36" s="134"/>
      <c r="EP36" s="134"/>
      <c r="EQ36" s="134"/>
      <c r="ER36" s="134"/>
      <c r="ES36" s="134"/>
      <c r="ET36" s="134"/>
      <c r="EU36" s="134"/>
      <c r="EV36" s="134"/>
      <c r="EW36" s="134"/>
      <c r="EX36" s="134"/>
      <c r="EY36" s="134"/>
      <c r="EZ36" s="134"/>
      <c r="FA36" s="134"/>
      <c r="FB36" s="134"/>
      <c r="FC36" s="134"/>
      <c r="FD36" s="134"/>
      <c r="FE36" s="134"/>
      <c r="FF36" s="134"/>
      <c r="FG36" s="134"/>
      <c r="FH36" s="134"/>
      <c r="FI36" s="134"/>
      <c r="FJ36" s="134"/>
      <c r="FK36" s="134"/>
      <c r="FL36" s="134"/>
      <c r="FM36" s="134"/>
      <c r="FN36" s="134"/>
      <c r="FO36" s="134"/>
      <c r="FP36" s="134"/>
      <c r="FQ36" s="134"/>
      <c r="FR36" s="134"/>
      <c r="FS36" s="134"/>
      <c r="FT36" s="134"/>
      <c r="FU36" s="134"/>
      <c r="FV36" s="134"/>
      <c r="FW36" s="134"/>
      <c r="FX36" s="134"/>
      <c r="FY36" s="134"/>
      <c r="FZ36" s="134"/>
      <c r="GA36" s="134"/>
      <c r="GB36" s="134"/>
      <c r="GC36" s="134"/>
      <c r="GD36" s="134"/>
      <c r="GE36" s="134"/>
      <c r="GF36" s="134"/>
      <c r="GG36" s="134"/>
      <c r="GH36" s="134"/>
      <c r="GI36" s="134"/>
      <c r="GJ36" s="134"/>
      <c r="GK36" s="134"/>
      <c r="GL36" s="134"/>
      <c r="GM36" s="134"/>
      <c r="GN36" s="134"/>
      <c r="GO36" s="134"/>
      <c r="GP36" s="134"/>
      <c r="GQ36" s="134"/>
      <c r="GR36" s="134"/>
      <c r="GS36" s="134"/>
      <c r="GT36" s="134"/>
      <c r="GU36" s="134"/>
      <c r="GV36" s="134"/>
      <c r="GW36" s="134"/>
      <c r="GX36" s="134"/>
      <c r="GY36" s="134"/>
      <c r="GZ36" s="134"/>
      <c r="HA36" s="134"/>
      <c r="HB36" s="134"/>
      <c r="HC36" s="134"/>
      <c r="HD36" s="134"/>
      <c r="HE36" s="134"/>
      <c r="HF36" s="134"/>
      <c r="HG36" s="134"/>
      <c r="HH36" s="134"/>
      <c r="HI36" s="134"/>
      <c r="HJ36" s="134"/>
      <c r="HK36" s="134"/>
      <c r="HL36" s="134"/>
      <c r="HM36" s="134"/>
      <c r="HN36" s="134"/>
      <c r="HO36" s="134"/>
      <c r="HP36" s="134"/>
      <c r="HQ36" s="134"/>
      <c r="HR36" s="134"/>
      <c r="HS36" s="134"/>
      <c r="HT36" s="134"/>
      <c r="HU36" s="134"/>
      <c r="HV36" s="134"/>
      <c r="HW36" s="134"/>
      <c r="HX36" s="134"/>
      <c r="HY36" s="134"/>
      <c r="HZ36" s="134"/>
      <c r="IA36" s="134"/>
      <c r="IB36" s="134"/>
      <c r="IC36" s="134"/>
      <c r="ID36" s="134"/>
      <c r="IE36" s="134"/>
      <c r="IF36" s="134"/>
      <c r="IG36" s="134"/>
      <c r="IH36" s="134"/>
      <c r="II36" s="134"/>
      <c r="IJ36" s="134"/>
      <c r="IK36" s="134"/>
      <c r="IL36" s="134"/>
      <c r="IM36" s="134"/>
      <c r="IN36" s="134"/>
      <c r="IO36" s="134"/>
      <c r="IP36" s="134"/>
      <c r="IQ36" s="134"/>
      <c r="IR36" s="134"/>
      <c r="IS36" s="134"/>
      <c r="IT36" s="134"/>
      <c r="IU36" s="134"/>
      <c r="IV36" s="134"/>
      <c r="IW36" s="134"/>
      <c r="IX36" s="134"/>
      <c r="IY36" s="134"/>
      <c r="IZ36" s="134"/>
      <c r="JA36" s="134"/>
      <c r="JB36" s="134"/>
      <c r="JC36" s="135"/>
    </row>
    <row r="37" spans="1:263" s="67" customFormat="1" ht="46" customHeight="1" x14ac:dyDescent="0.25">
      <c r="A37" s="165">
        <v>9</v>
      </c>
      <c r="B37" s="166" t="s">
        <v>159</v>
      </c>
      <c r="C37" s="167"/>
      <c r="D37" s="168"/>
      <c r="E37" s="169"/>
      <c r="F37" s="170"/>
      <c r="G37" s="171"/>
      <c r="H37" s="172"/>
      <c r="I37" s="136"/>
      <c r="J37" s="137"/>
      <c r="K37" s="138"/>
      <c r="L37" s="138"/>
      <c r="M37" s="138"/>
      <c r="N37" s="138"/>
      <c r="O37" s="138"/>
      <c r="P37" s="138"/>
      <c r="Q37" s="138"/>
      <c r="R37" s="138"/>
      <c r="S37" s="138"/>
      <c r="T37" s="138"/>
      <c r="U37" s="138"/>
      <c r="V37" s="138"/>
      <c r="W37" s="138"/>
      <c r="X37" s="138"/>
      <c r="Y37" s="138"/>
      <c r="Z37" s="138"/>
      <c r="AA37" s="138"/>
      <c r="AB37" s="138"/>
      <c r="AC37" s="138"/>
      <c r="AD37" s="138"/>
      <c r="AE37" s="138"/>
      <c r="AF37" s="138"/>
      <c r="AG37" s="138"/>
      <c r="AH37" s="138"/>
      <c r="AI37" s="138"/>
      <c r="AJ37" s="138"/>
      <c r="AK37" s="138"/>
      <c r="AL37" s="138"/>
      <c r="AM37" s="138"/>
      <c r="AN37" s="138"/>
      <c r="AO37" s="138"/>
      <c r="AP37" s="138"/>
      <c r="AQ37" s="138"/>
      <c r="AR37" s="138"/>
      <c r="AS37" s="138"/>
      <c r="AT37" s="138"/>
      <c r="AU37" s="138"/>
      <c r="AV37" s="138"/>
      <c r="AW37" s="138"/>
      <c r="AX37" s="138"/>
      <c r="AY37" s="138"/>
      <c r="AZ37" s="138"/>
      <c r="BA37" s="138"/>
      <c r="BB37" s="138"/>
      <c r="BC37" s="138"/>
      <c r="BD37" s="138"/>
      <c r="BE37" s="138"/>
      <c r="BF37" s="138"/>
      <c r="BG37" s="138"/>
      <c r="BH37" s="138"/>
      <c r="BI37" s="138"/>
      <c r="BJ37" s="138"/>
      <c r="BK37" s="138"/>
      <c r="BL37" s="138"/>
      <c r="BM37" s="138"/>
      <c r="BN37" s="138"/>
      <c r="BO37" s="138"/>
      <c r="BP37" s="138"/>
      <c r="BQ37" s="138"/>
      <c r="BR37" s="138"/>
      <c r="BS37" s="138"/>
      <c r="BT37" s="138"/>
      <c r="BU37" s="138"/>
      <c r="BV37" s="138"/>
      <c r="BW37" s="138"/>
      <c r="BX37" s="138"/>
      <c r="BY37" s="138"/>
      <c r="BZ37" s="138"/>
      <c r="CA37" s="138"/>
      <c r="CB37" s="138"/>
      <c r="CC37" s="138"/>
      <c r="CD37" s="138"/>
      <c r="CE37" s="138"/>
      <c r="CF37" s="138"/>
      <c r="CG37" s="138"/>
      <c r="CH37" s="138"/>
      <c r="CI37" s="138"/>
      <c r="CJ37" s="138"/>
      <c r="CK37" s="138"/>
      <c r="CL37" s="138"/>
      <c r="CM37" s="138"/>
      <c r="CN37" s="138"/>
      <c r="CO37" s="138"/>
      <c r="CP37" s="138"/>
      <c r="CQ37" s="138"/>
      <c r="CR37" s="138"/>
      <c r="CS37" s="138"/>
      <c r="CT37" s="138"/>
      <c r="CU37" s="138"/>
      <c r="CV37" s="138"/>
      <c r="CW37" s="138"/>
      <c r="CX37" s="138"/>
      <c r="CY37" s="138"/>
      <c r="CZ37" s="138"/>
      <c r="DA37" s="138"/>
      <c r="DB37" s="138"/>
      <c r="DC37" s="138"/>
      <c r="DD37" s="138"/>
      <c r="DE37" s="138"/>
      <c r="DF37" s="138"/>
      <c r="DG37" s="138"/>
      <c r="DH37" s="138"/>
      <c r="DI37" s="138"/>
      <c r="DJ37" s="138"/>
      <c r="DK37" s="138"/>
      <c r="DL37" s="138"/>
      <c r="DM37" s="138"/>
      <c r="DN37" s="138"/>
      <c r="DO37" s="138"/>
      <c r="DP37" s="138"/>
      <c r="DQ37" s="138"/>
      <c r="DR37" s="138"/>
      <c r="DS37" s="138"/>
      <c r="DT37" s="138"/>
      <c r="DU37" s="138"/>
      <c r="DV37" s="138"/>
      <c r="DW37" s="138"/>
      <c r="DX37" s="138"/>
      <c r="DY37" s="138"/>
      <c r="DZ37" s="138"/>
      <c r="EA37" s="138"/>
      <c r="EB37" s="138"/>
      <c r="EC37" s="138"/>
      <c r="ED37" s="138"/>
      <c r="EE37" s="138"/>
      <c r="EF37" s="138"/>
      <c r="EG37" s="138"/>
      <c r="EH37" s="138"/>
      <c r="EI37" s="138"/>
      <c r="EJ37" s="138"/>
      <c r="EK37" s="138"/>
      <c r="EL37" s="138"/>
      <c r="EM37" s="138"/>
      <c r="EN37" s="138"/>
      <c r="EO37" s="138"/>
      <c r="EP37" s="138"/>
      <c r="EQ37" s="138"/>
      <c r="ER37" s="138"/>
      <c r="ES37" s="138"/>
      <c r="ET37" s="138"/>
      <c r="EU37" s="138"/>
      <c r="EV37" s="138"/>
      <c r="EW37" s="138"/>
      <c r="EX37" s="138"/>
      <c r="EY37" s="138"/>
      <c r="EZ37" s="138"/>
      <c r="FA37" s="138"/>
      <c r="FB37" s="138"/>
      <c r="FC37" s="138"/>
      <c r="FD37" s="138"/>
      <c r="FE37" s="138"/>
      <c r="FF37" s="138"/>
      <c r="FG37" s="138"/>
      <c r="FH37" s="138"/>
      <c r="FI37" s="138"/>
      <c r="FJ37" s="138"/>
      <c r="FK37" s="138"/>
      <c r="FL37" s="138"/>
      <c r="FM37" s="138"/>
      <c r="FN37" s="138"/>
      <c r="FO37" s="138"/>
      <c r="FP37" s="138"/>
      <c r="FQ37" s="138"/>
      <c r="FR37" s="138"/>
      <c r="FS37" s="138"/>
      <c r="FT37" s="138"/>
      <c r="FU37" s="138"/>
      <c r="FV37" s="138"/>
      <c r="FW37" s="138"/>
      <c r="FX37" s="138"/>
      <c r="FY37" s="138"/>
      <c r="FZ37" s="138"/>
      <c r="GA37" s="138"/>
      <c r="GB37" s="138"/>
      <c r="GC37" s="138"/>
      <c r="GD37" s="138"/>
      <c r="GE37" s="138"/>
      <c r="GF37" s="138"/>
      <c r="GG37" s="138"/>
      <c r="GH37" s="138"/>
      <c r="GI37" s="138"/>
      <c r="GJ37" s="138"/>
      <c r="GK37" s="138"/>
      <c r="GL37" s="138"/>
      <c r="GM37" s="138"/>
      <c r="GN37" s="138"/>
      <c r="GO37" s="138"/>
      <c r="GP37" s="138"/>
      <c r="GQ37" s="138"/>
      <c r="GR37" s="138"/>
      <c r="GS37" s="138"/>
      <c r="GT37" s="138"/>
      <c r="GU37" s="138"/>
      <c r="GV37" s="138"/>
      <c r="GW37" s="138"/>
      <c r="GX37" s="138"/>
      <c r="GY37" s="138"/>
      <c r="GZ37" s="138"/>
      <c r="HA37" s="138"/>
      <c r="HB37" s="138"/>
      <c r="HC37" s="138"/>
      <c r="HD37" s="138"/>
      <c r="HE37" s="138"/>
      <c r="HF37" s="138"/>
      <c r="HG37" s="138"/>
      <c r="HH37" s="138"/>
      <c r="HI37" s="138"/>
      <c r="HJ37" s="138"/>
      <c r="HK37" s="138"/>
      <c r="HL37" s="138"/>
      <c r="HM37" s="138"/>
      <c r="HN37" s="138"/>
      <c r="HO37" s="138"/>
      <c r="HP37" s="138"/>
      <c r="HQ37" s="138"/>
      <c r="HR37" s="138"/>
      <c r="HS37" s="138"/>
      <c r="HT37" s="138"/>
      <c r="HU37" s="138"/>
      <c r="HV37" s="138"/>
      <c r="HW37" s="138"/>
      <c r="HX37" s="138"/>
      <c r="HY37" s="138"/>
      <c r="HZ37" s="138"/>
      <c r="IA37" s="138"/>
      <c r="IB37" s="138"/>
      <c r="IC37" s="138"/>
      <c r="ID37" s="138"/>
      <c r="IE37" s="138"/>
      <c r="IF37" s="138"/>
      <c r="IG37" s="138"/>
      <c r="IH37" s="138"/>
      <c r="II37" s="138"/>
      <c r="IJ37" s="138"/>
      <c r="IK37" s="138"/>
      <c r="IL37" s="138"/>
      <c r="IM37" s="138"/>
      <c r="IN37" s="138"/>
      <c r="IO37" s="138"/>
      <c r="IP37" s="138"/>
      <c r="IQ37" s="138"/>
      <c r="IR37" s="138"/>
      <c r="IS37" s="138"/>
      <c r="IT37" s="138"/>
      <c r="IU37" s="138"/>
      <c r="IV37" s="138"/>
      <c r="IW37" s="138"/>
      <c r="IX37" s="138"/>
      <c r="IY37" s="138"/>
      <c r="IZ37" s="138"/>
      <c r="JA37" s="138"/>
      <c r="JB37" s="138"/>
      <c r="JC37" s="139"/>
    </row>
    <row r="38" spans="1:263" s="66" customFormat="1" ht="40.5" customHeight="1" x14ac:dyDescent="0.25">
      <c r="A38" s="157">
        <v>9.1</v>
      </c>
      <c r="B38" s="158" t="s">
        <v>152</v>
      </c>
      <c r="C38" s="159" t="s">
        <v>136</v>
      </c>
      <c r="D38" s="160" t="s">
        <v>153</v>
      </c>
      <c r="E38" s="161">
        <v>45978</v>
      </c>
      <c r="F38" s="162">
        <v>46009</v>
      </c>
      <c r="G38" s="163">
        <v>32</v>
      </c>
      <c r="H38" s="164">
        <v>1</v>
      </c>
      <c r="I38" s="140">
        <v>24</v>
      </c>
      <c r="J38" s="133"/>
      <c r="K38" s="134"/>
      <c r="L38" s="134"/>
      <c r="M38" s="134"/>
      <c r="N38" s="134"/>
      <c r="O38" s="134"/>
      <c r="P38" s="134"/>
      <c r="Q38" s="134"/>
      <c r="R38" s="134"/>
      <c r="S38" s="134"/>
      <c r="T38" s="134"/>
      <c r="U38" s="134"/>
      <c r="V38" s="134"/>
      <c r="W38" s="134"/>
      <c r="X38" s="134"/>
      <c r="Y38" s="134"/>
      <c r="Z38" s="134"/>
      <c r="AA38" s="134"/>
      <c r="AB38" s="134"/>
      <c r="AC38" s="134"/>
      <c r="AD38" s="134"/>
      <c r="AE38" s="134"/>
      <c r="AF38" s="134"/>
      <c r="AG38" s="134"/>
      <c r="AH38" s="134"/>
      <c r="AI38" s="134"/>
      <c r="AJ38" s="134"/>
      <c r="AK38" s="134"/>
      <c r="AL38" s="134"/>
      <c r="AM38" s="134"/>
      <c r="AN38" s="134"/>
      <c r="AO38" s="134"/>
      <c r="AP38" s="134"/>
      <c r="AQ38" s="134"/>
      <c r="AR38" s="134"/>
      <c r="AS38" s="134"/>
      <c r="AT38" s="134"/>
      <c r="AU38" s="134"/>
      <c r="AV38" s="134"/>
      <c r="AW38" s="134"/>
      <c r="AX38" s="134"/>
      <c r="AY38" s="134"/>
      <c r="AZ38" s="134"/>
      <c r="BA38" s="134"/>
      <c r="BB38" s="134"/>
      <c r="BC38" s="134"/>
      <c r="BD38" s="134"/>
      <c r="BE38" s="134"/>
      <c r="BF38" s="134"/>
      <c r="BG38" s="134"/>
      <c r="BH38" s="134"/>
      <c r="BI38" s="134"/>
      <c r="BJ38" s="134"/>
      <c r="BK38" s="134"/>
      <c r="BL38" s="134"/>
      <c r="BM38" s="134"/>
      <c r="BN38" s="134"/>
      <c r="BO38" s="134"/>
      <c r="BP38" s="134"/>
      <c r="BQ38" s="134"/>
      <c r="BR38" s="134"/>
      <c r="BS38" s="134"/>
      <c r="BT38" s="134"/>
      <c r="BU38" s="134"/>
      <c r="BV38" s="134"/>
      <c r="BW38" s="134"/>
      <c r="BX38" s="134"/>
      <c r="BY38" s="134"/>
      <c r="BZ38" s="134"/>
      <c r="CA38" s="134"/>
      <c r="CB38" s="134"/>
      <c r="CC38" s="134"/>
      <c r="CD38" s="134"/>
      <c r="CE38" s="134"/>
      <c r="CF38" s="134"/>
      <c r="CG38" s="134"/>
      <c r="CH38" s="134"/>
      <c r="CI38" s="134"/>
      <c r="CJ38" s="134"/>
      <c r="CK38" s="134"/>
      <c r="CL38" s="134"/>
      <c r="CM38" s="134"/>
      <c r="CN38" s="134"/>
      <c r="CO38" s="134"/>
      <c r="CP38" s="134"/>
      <c r="CQ38" s="134"/>
      <c r="CR38" s="134"/>
      <c r="CS38" s="134"/>
      <c r="CT38" s="134"/>
      <c r="CU38" s="134"/>
      <c r="CV38" s="134"/>
      <c r="CW38" s="134"/>
      <c r="CX38" s="134"/>
      <c r="CY38" s="134"/>
      <c r="CZ38" s="134"/>
      <c r="DA38" s="134"/>
      <c r="DB38" s="134"/>
      <c r="DC38" s="134"/>
      <c r="DD38" s="134"/>
      <c r="DE38" s="134"/>
      <c r="DF38" s="134"/>
      <c r="DG38" s="134"/>
      <c r="DH38" s="134"/>
      <c r="DI38" s="134"/>
      <c r="DJ38" s="134"/>
      <c r="DK38" s="134"/>
      <c r="DL38" s="134"/>
      <c r="DM38" s="134"/>
      <c r="DN38" s="134"/>
      <c r="DO38" s="134"/>
      <c r="DP38" s="134"/>
      <c r="DQ38" s="134"/>
      <c r="DR38" s="134"/>
      <c r="DS38" s="134"/>
      <c r="DT38" s="134"/>
      <c r="DU38" s="134"/>
      <c r="DV38" s="134"/>
      <c r="DW38" s="134"/>
      <c r="DX38" s="134"/>
      <c r="DY38" s="134"/>
      <c r="DZ38" s="134"/>
      <c r="EA38" s="134"/>
      <c r="EB38" s="134"/>
      <c r="EC38" s="134"/>
      <c r="ED38" s="134"/>
      <c r="EE38" s="134"/>
      <c r="EF38" s="134"/>
      <c r="EG38" s="134"/>
      <c r="EH38" s="134"/>
      <c r="EI38" s="134"/>
      <c r="EJ38" s="134"/>
      <c r="EK38" s="134"/>
      <c r="EL38" s="134"/>
      <c r="EM38" s="134"/>
      <c r="EN38" s="134"/>
      <c r="EO38" s="134"/>
      <c r="EP38" s="134"/>
      <c r="EQ38" s="134"/>
      <c r="ER38" s="134"/>
      <c r="ES38" s="134"/>
      <c r="ET38" s="134"/>
      <c r="EU38" s="134"/>
      <c r="EV38" s="134"/>
      <c r="EW38" s="134"/>
      <c r="EX38" s="134"/>
      <c r="EY38" s="134"/>
      <c r="EZ38" s="134"/>
      <c r="FA38" s="134"/>
      <c r="FB38" s="134"/>
      <c r="FC38" s="134"/>
      <c r="FD38" s="134"/>
      <c r="FE38" s="134"/>
      <c r="FF38" s="134"/>
      <c r="FG38" s="134"/>
      <c r="FH38" s="134"/>
      <c r="FI38" s="134"/>
      <c r="FJ38" s="134"/>
      <c r="FK38" s="134"/>
      <c r="FL38" s="134"/>
      <c r="FM38" s="134"/>
      <c r="FN38" s="134"/>
      <c r="FO38" s="134"/>
      <c r="FP38" s="134"/>
      <c r="FQ38" s="134"/>
      <c r="FR38" s="134"/>
      <c r="FS38" s="134"/>
      <c r="FT38" s="134"/>
      <c r="FU38" s="134"/>
      <c r="FV38" s="134"/>
      <c r="FW38" s="134"/>
      <c r="FX38" s="134"/>
      <c r="FY38" s="134"/>
      <c r="FZ38" s="134"/>
      <c r="GA38" s="134"/>
      <c r="GB38" s="134"/>
      <c r="GC38" s="134"/>
      <c r="GD38" s="134"/>
      <c r="GE38" s="134"/>
      <c r="GF38" s="134"/>
      <c r="GG38" s="134"/>
      <c r="GH38" s="134"/>
      <c r="GI38" s="134"/>
      <c r="GJ38" s="134"/>
      <c r="GK38" s="134"/>
      <c r="GL38" s="134"/>
      <c r="GM38" s="134"/>
      <c r="GN38" s="134"/>
      <c r="GO38" s="134"/>
      <c r="GP38" s="134"/>
      <c r="GQ38" s="134"/>
      <c r="GR38" s="134"/>
      <c r="GS38" s="134"/>
      <c r="GT38" s="134"/>
      <c r="GU38" s="134"/>
      <c r="GV38" s="134"/>
      <c r="GW38" s="134"/>
      <c r="GX38" s="134"/>
      <c r="GY38" s="134"/>
      <c r="GZ38" s="134"/>
      <c r="HA38" s="134"/>
      <c r="HB38" s="134"/>
      <c r="HC38" s="134"/>
      <c r="HD38" s="134"/>
      <c r="HE38" s="134"/>
      <c r="HF38" s="134"/>
      <c r="HG38" s="134"/>
      <c r="HH38" s="134"/>
      <c r="HI38" s="134"/>
      <c r="HJ38" s="134"/>
      <c r="HK38" s="134"/>
      <c r="HL38" s="134"/>
      <c r="HM38" s="134"/>
      <c r="HN38" s="134"/>
      <c r="HO38" s="134"/>
      <c r="HP38" s="134"/>
      <c r="HQ38" s="134"/>
      <c r="HR38" s="134"/>
      <c r="HS38" s="134"/>
      <c r="HT38" s="134"/>
      <c r="HU38" s="134"/>
      <c r="HV38" s="134"/>
      <c r="HW38" s="134"/>
      <c r="HX38" s="134"/>
      <c r="HY38" s="134"/>
      <c r="HZ38" s="134"/>
      <c r="IA38" s="134"/>
      <c r="IB38" s="134"/>
      <c r="IC38" s="134"/>
      <c r="ID38" s="134"/>
      <c r="IE38" s="134"/>
      <c r="IF38" s="134"/>
      <c r="IG38" s="134"/>
      <c r="IH38" s="134"/>
      <c r="II38" s="134"/>
      <c r="IJ38" s="134"/>
      <c r="IK38" s="134"/>
      <c r="IL38" s="134"/>
      <c r="IM38" s="134"/>
      <c r="IN38" s="134"/>
      <c r="IO38" s="134"/>
      <c r="IP38" s="134"/>
      <c r="IQ38" s="134"/>
      <c r="IR38" s="134"/>
      <c r="IS38" s="134"/>
      <c r="IT38" s="134"/>
      <c r="IU38" s="134"/>
      <c r="IV38" s="134"/>
      <c r="IW38" s="134"/>
      <c r="IX38" s="134"/>
      <c r="IY38" s="134"/>
      <c r="IZ38" s="134"/>
      <c r="JA38" s="134"/>
      <c r="JB38" s="134"/>
      <c r="JC38" s="135"/>
    </row>
    <row r="39" spans="1:263" s="66" customFormat="1" ht="41" customHeight="1" x14ac:dyDescent="0.25">
      <c r="A39" s="157">
        <v>9.1999999999999993</v>
      </c>
      <c r="B39" s="158" t="s">
        <v>152</v>
      </c>
      <c r="C39" s="159" t="s">
        <v>139</v>
      </c>
      <c r="D39" s="160" t="s">
        <v>153</v>
      </c>
      <c r="E39" s="161">
        <v>45978</v>
      </c>
      <c r="F39" s="162">
        <v>46009</v>
      </c>
      <c r="G39" s="163">
        <v>32</v>
      </c>
      <c r="H39" s="164">
        <v>1</v>
      </c>
      <c r="I39" s="132">
        <v>24</v>
      </c>
      <c r="J39" s="133"/>
      <c r="K39" s="134"/>
      <c r="L39" s="134"/>
      <c r="M39" s="134"/>
      <c r="N39" s="134"/>
      <c r="O39" s="134"/>
      <c r="P39" s="134"/>
      <c r="Q39" s="134"/>
      <c r="R39" s="134"/>
      <c r="S39" s="134"/>
      <c r="T39" s="134"/>
      <c r="U39" s="134"/>
      <c r="V39" s="134"/>
      <c r="W39" s="134"/>
      <c r="X39" s="134"/>
      <c r="Y39" s="134"/>
      <c r="Z39" s="134"/>
      <c r="AA39" s="134"/>
      <c r="AB39" s="134"/>
      <c r="AC39" s="134"/>
      <c r="AD39" s="134"/>
      <c r="AE39" s="134"/>
      <c r="AF39" s="134"/>
      <c r="AG39" s="134"/>
      <c r="AH39" s="134"/>
      <c r="AI39" s="134"/>
      <c r="AJ39" s="134"/>
      <c r="AK39" s="134"/>
      <c r="AL39" s="134"/>
      <c r="AM39" s="134"/>
      <c r="AN39" s="134"/>
      <c r="AO39" s="134"/>
      <c r="AP39" s="134"/>
      <c r="AQ39" s="134"/>
      <c r="AR39" s="134"/>
      <c r="AS39" s="134"/>
      <c r="AT39" s="134"/>
      <c r="AU39" s="134"/>
      <c r="AV39" s="134"/>
      <c r="AW39" s="134"/>
      <c r="AX39" s="134"/>
      <c r="AY39" s="134"/>
      <c r="AZ39" s="134"/>
      <c r="BA39" s="134"/>
      <c r="BB39" s="134"/>
      <c r="BC39" s="134"/>
      <c r="BD39" s="134"/>
      <c r="BE39" s="134"/>
      <c r="BF39" s="134"/>
      <c r="BG39" s="134"/>
      <c r="BH39" s="134"/>
      <c r="BI39" s="134"/>
      <c r="BJ39" s="134"/>
      <c r="BK39" s="134"/>
      <c r="BL39" s="134"/>
      <c r="BM39" s="134"/>
      <c r="BN39" s="134"/>
      <c r="BO39" s="134"/>
      <c r="BP39" s="134"/>
      <c r="BQ39" s="134"/>
      <c r="BR39" s="134"/>
      <c r="BS39" s="134"/>
      <c r="BT39" s="134"/>
      <c r="BU39" s="134"/>
      <c r="BV39" s="134"/>
      <c r="BW39" s="134"/>
      <c r="BX39" s="134"/>
      <c r="BY39" s="134"/>
      <c r="BZ39" s="134"/>
      <c r="CA39" s="134"/>
      <c r="CB39" s="134"/>
      <c r="CC39" s="134"/>
      <c r="CD39" s="134"/>
      <c r="CE39" s="134"/>
      <c r="CF39" s="134"/>
      <c r="CG39" s="134"/>
      <c r="CH39" s="134"/>
      <c r="CI39" s="134"/>
      <c r="CJ39" s="134"/>
      <c r="CK39" s="134"/>
      <c r="CL39" s="134"/>
      <c r="CM39" s="134"/>
      <c r="CN39" s="134"/>
      <c r="CO39" s="134"/>
      <c r="CP39" s="134"/>
      <c r="CQ39" s="134"/>
      <c r="CR39" s="134"/>
      <c r="CS39" s="134"/>
      <c r="CT39" s="134"/>
      <c r="CU39" s="134"/>
      <c r="CV39" s="134"/>
      <c r="CW39" s="134"/>
      <c r="CX39" s="134"/>
      <c r="CY39" s="134"/>
      <c r="CZ39" s="134"/>
      <c r="DA39" s="134"/>
      <c r="DB39" s="134"/>
      <c r="DC39" s="134"/>
      <c r="DD39" s="134"/>
      <c r="DE39" s="134"/>
      <c r="DF39" s="134"/>
      <c r="DG39" s="134"/>
      <c r="DH39" s="134"/>
      <c r="DI39" s="134"/>
      <c r="DJ39" s="134"/>
      <c r="DK39" s="134"/>
      <c r="DL39" s="134"/>
      <c r="DM39" s="134"/>
      <c r="DN39" s="134"/>
      <c r="DO39" s="134"/>
      <c r="DP39" s="134"/>
      <c r="DQ39" s="134"/>
      <c r="DR39" s="134"/>
      <c r="DS39" s="134"/>
      <c r="DT39" s="134"/>
      <c r="DU39" s="134"/>
      <c r="DV39" s="134"/>
      <c r="DW39" s="134"/>
      <c r="DX39" s="134"/>
      <c r="DY39" s="134"/>
      <c r="DZ39" s="134"/>
      <c r="EA39" s="134"/>
      <c r="EB39" s="134"/>
      <c r="EC39" s="134"/>
      <c r="ED39" s="134"/>
      <c r="EE39" s="134"/>
      <c r="EF39" s="134"/>
      <c r="EG39" s="134"/>
      <c r="EH39" s="134"/>
      <c r="EI39" s="134"/>
      <c r="EJ39" s="134"/>
      <c r="EK39" s="134"/>
      <c r="EL39" s="134"/>
      <c r="EM39" s="134"/>
      <c r="EN39" s="134"/>
      <c r="EO39" s="134"/>
      <c r="EP39" s="134"/>
      <c r="EQ39" s="134"/>
      <c r="ER39" s="134"/>
      <c r="ES39" s="134"/>
      <c r="ET39" s="134"/>
      <c r="EU39" s="134"/>
      <c r="EV39" s="134"/>
      <c r="EW39" s="134"/>
      <c r="EX39" s="134"/>
      <c r="EY39" s="134"/>
      <c r="EZ39" s="134"/>
      <c r="FA39" s="134"/>
      <c r="FB39" s="134"/>
      <c r="FC39" s="134"/>
      <c r="FD39" s="134"/>
      <c r="FE39" s="134"/>
      <c r="FF39" s="134"/>
      <c r="FG39" s="134"/>
      <c r="FH39" s="134"/>
      <c r="FI39" s="134"/>
      <c r="FJ39" s="134"/>
      <c r="FK39" s="134"/>
      <c r="FL39" s="134"/>
      <c r="FM39" s="134"/>
      <c r="FN39" s="134"/>
      <c r="FO39" s="134"/>
      <c r="FP39" s="134"/>
      <c r="FQ39" s="134"/>
      <c r="FR39" s="134"/>
      <c r="FS39" s="134"/>
      <c r="FT39" s="134"/>
      <c r="FU39" s="134"/>
      <c r="FV39" s="134"/>
      <c r="FW39" s="134"/>
      <c r="FX39" s="134"/>
      <c r="FY39" s="134"/>
      <c r="FZ39" s="134"/>
      <c r="GA39" s="134"/>
      <c r="GB39" s="134"/>
      <c r="GC39" s="134"/>
      <c r="GD39" s="134"/>
      <c r="GE39" s="134"/>
      <c r="GF39" s="134"/>
      <c r="GG39" s="134"/>
      <c r="GH39" s="134"/>
      <c r="GI39" s="134"/>
      <c r="GJ39" s="134"/>
      <c r="GK39" s="134"/>
      <c r="GL39" s="134"/>
      <c r="GM39" s="134"/>
      <c r="GN39" s="134"/>
      <c r="GO39" s="134"/>
      <c r="GP39" s="134"/>
      <c r="GQ39" s="134"/>
      <c r="GR39" s="134"/>
      <c r="GS39" s="134"/>
      <c r="GT39" s="134"/>
      <c r="GU39" s="134"/>
      <c r="GV39" s="134"/>
      <c r="GW39" s="134"/>
      <c r="GX39" s="134"/>
      <c r="GY39" s="134"/>
      <c r="GZ39" s="134"/>
      <c r="HA39" s="134"/>
      <c r="HB39" s="134"/>
      <c r="HC39" s="134"/>
      <c r="HD39" s="134"/>
      <c r="HE39" s="134"/>
      <c r="HF39" s="134"/>
      <c r="HG39" s="134"/>
      <c r="HH39" s="134"/>
      <c r="HI39" s="134"/>
      <c r="HJ39" s="134"/>
      <c r="HK39" s="134"/>
      <c r="HL39" s="134"/>
      <c r="HM39" s="134"/>
      <c r="HN39" s="134"/>
      <c r="HO39" s="134"/>
      <c r="HP39" s="134"/>
      <c r="HQ39" s="134"/>
      <c r="HR39" s="134"/>
      <c r="HS39" s="134"/>
      <c r="HT39" s="134"/>
      <c r="HU39" s="134"/>
      <c r="HV39" s="134"/>
      <c r="HW39" s="134"/>
      <c r="HX39" s="134"/>
      <c r="HY39" s="134"/>
      <c r="HZ39" s="134"/>
      <c r="IA39" s="134"/>
      <c r="IB39" s="134"/>
      <c r="IC39" s="134"/>
      <c r="ID39" s="134"/>
      <c r="IE39" s="134"/>
      <c r="IF39" s="134"/>
      <c r="IG39" s="134"/>
      <c r="IH39" s="134"/>
      <c r="II39" s="134"/>
      <c r="IJ39" s="134"/>
      <c r="IK39" s="134"/>
      <c r="IL39" s="134"/>
      <c r="IM39" s="134"/>
      <c r="IN39" s="134"/>
      <c r="IO39" s="134"/>
      <c r="IP39" s="134"/>
      <c r="IQ39" s="134"/>
      <c r="IR39" s="134"/>
      <c r="IS39" s="134"/>
      <c r="IT39" s="134"/>
      <c r="IU39" s="134"/>
      <c r="IV39" s="134"/>
      <c r="IW39" s="134"/>
      <c r="IX39" s="134"/>
      <c r="IY39" s="134"/>
      <c r="IZ39" s="134"/>
      <c r="JA39" s="134"/>
      <c r="JB39" s="134"/>
      <c r="JC39" s="135"/>
    </row>
    <row r="40" spans="1:263" s="103" customFormat="1" ht="49.5" customHeight="1" x14ac:dyDescent="0.25">
      <c r="A40" s="173"/>
      <c r="B40" s="174" t="s">
        <v>162</v>
      </c>
      <c r="C40" s="175"/>
      <c r="D40" s="176"/>
      <c r="E40" s="177"/>
      <c r="F40" s="177"/>
      <c r="G40" s="175"/>
      <c r="H40" s="175"/>
      <c r="I40" s="141"/>
      <c r="J40" s="141"/>
      <c r="K40" s="142"/>
      <c r="L40" s="142"/>
      <c r="M40" s="142"/>
      <c r="N40" s="142"/>
      <c r="O40" s="142"/>
      <c r="P40" s="142"/>
      <c r="Q40" s="142"/>
      <c r="R40" s="142"/>
      <c r="S40" s="142"/>
      <c r="T40" s="142"/>
      <c r="U40" s="142"/>
      <c r="V40" s="142"/>
      <c r="W40" s="142"/>
      <c r="X40" s="142"/>
      <c r="Y40" s="142"/>
      <c r="Z40" s="142"/>
      <c r="AA40" s="142"/>
      <c r="AB40" s="142"/>
      <c r="AC40" s="142"/>
      <c r="AD40" s="142"/>
      <c r="AE40" s="142"/>
      <c r="AF40" s="142"/>
      <c r="AG40" s="142"/>
      <c r="AH40" s="142"/>
      <c r="AI40" s="142"/>
      <c r="AJ40" s="142"/>
      <c r="AK40" s="142"/>
      <c r="AL40" s="142"/>
      <c r="AM40" s="142"/>
      <c r="AN40" s="142"/>
      <c r="AO40" s="142"/>
      <c r="AP40" s="142"/>
      <c r="AQ40" s="142"/>
      <c r="AR40" s="142"/>
      <c r="AS40" s="142"/>
      <c r="AT40" s="142"/>
      <c r="AU40" s="142"/>
      <c r="AV40" s="142"/>
      <c r="AW40" s="142"/>
      <c r="AX40" s="142"/>
      <c r="AY40" s="142"/>
      <c r="AZ40" s="142"/>
      <c r="BA40" s="142"/>
      <c r="BB40" s="142"/>
      <c r="BC40" s="142"/>
      <c r="BD40" s="142"/>
      <c r="BE40" s="142"/>
      <c r="BF40" s="142"/>
      <c r="BG40" s="142"/>
      <c r="BH40" s="142"/>
      <c r="BI40" s="142"/>
      <c r="BJ40" s="142"/>
      <c r="BK40" s="142"/>
      <c r="BL40" s="142"/>
      <c r="BM40" s="142"/>
      <c r="BN40" s="142"/>
      <c r="BO40" s="142"/>
      <c r="BP40" s="142"/>
      <c r="BQ40" s="142"/>
      <c r="BR40" s="142"/>
      <c r="BS40" s="142"/>
      <c r="BT40" s="142"/>
      <c r="BU40" s="142"/>
      <c r="BV40" s="142"/>
      <c r="BW40" s="142"/>
      <c r="BX40" s="142"/>
      <c r="BY40" s="142"/>
      <c r="BZ40" s="142"/>
      <c r="CA40" s="142"/>
      <c r="CB40" s="142"/>
      <c r="CC40" s="142"/>
      <c r="CD40" s="142"/>
      <c r="CE40" s="142"/>
      <c r="CF40" s="142"/>
      <c r="CG40" s="142"/>
      <c r="CH40" s="142"/>
      <c r="CI40" s="142"/>
      <c r="CJ40" s="142"/>
      <c r="CK40" s="142"/>
      <c r="CL40" s="142"/>
      <c r="CM40" s="142"/>
      <c r="CN40" s="142"/>
      <c r="CO40" s="142"/>
      <c r="CP40" s="142"/>
      <c r="CQ40" s="142"/>
      <c r="CR40" s="142"/>
      <c r="CS40" s="142"/>
      <c r="CT40" s="142"/>
      <c r="CU40" s="142"/>
      <c r="CV40" s="142"/>
      <c r="CW40" s="142"/>
      <c r="CX40" s="142"/>
      <c r="CY40" s="142"/>
      <c r="CZ40" s="142"/>
      <c r="DA40" s="142"/>
      <c r="DB40" s="142"/>
      <c r="DC40" s="142"/>
      <c r="DD40" s="142"/>
      <c r="DE40" s="142"/>
      <c r="DF40" s="142"/>
      <c r="DG40" s="142"/>
      <c r="DH40" s="142"/>
      <c r="DI40" s="142"/>
      <c r="DJ40" s="142"/>
      <c r="DK40" s="142"/>
      <c r="DL40" s="142"/>
      <c r="DM40" s="142"/>
      <c r="DN40" s="142"/>
      <c r="DO40" s="142"/>
      <c r="DP40" s="142"/>
      <c r="DQ40" s="142"/>
      <c r="DR40" s="142"/>
      <c r="DS40" s="142"/>
      <c r="DT40" s="142"/>
      <c r="DU40" s="142"/>
      <c r="DV40" s="142"/>
      <c r="DW40" s="142"/>
      <c r="DX40" s="142"/>
      <c r="DY40" s="142"/>
      <c r="DZ40" s="142"/>
      <c r="EA40" s="142"/>
      <c r="EB40" s="142"/>
      <c r="EC40" s="142"/>
      <c r="ED40" s="142"/>
      <c r="EE40" s="142"/>
      <c r="EF40" s="142"/>
      <c r="EG40" s="142"/>
      <c r="EH40" s="142"/>
      <c r="EI40" s="142"/>
      <c r="EJ40" s="142"/>
      <c r="EK40" s="142"/>
      <c r="EL40" s="142"/>
      <c r="EM40" s="142"/>
      <c r="EN40" s="142"/>
      <c r="EO40" s="142"/>
      <c r="EP40" s="142"/>
      <c r="EQ40" s="142"/>
      <c r="ER40" s="142"/>
      <c r="ES40" s="142"/>
      <c r="ET40" s="142"/>
      <c r="EU40" s="142"/>
      <c r="EV40" s="142"/>
      <c r="EW40" s="142"/>
      <c r="EX40" s="142"/>
      <c r="EY40" s="142"/>
      <c r="EZ40" s="142"/>
      <c r="FA40" s="142"/>
      <c r="FB40" s="142"/>
      <c r="FC40" s="142"/>
      <c r="FD40" s="142"/>
      <c r="FE40" s="142"/>
      <c r="FF40" s="142"/>
      <c r="FG40" s="142"/>
      <c r="FH40" s="142"/>
      <c r="FI40" s="142"/>
      <c r="FJ40" s="142"/>
      <c r="FK40" s="142"/>
      <c r="FL40" s="142"/>
      <c r="FM40" s="142"/>
      <c r="FN40" s="142"/>
      <c r="FO40" s="142"/>
      <c r="FP40" s="142"/>
      <c r="FQ40" s="142"/>
      <c r="FR40" s="142"/>
      <c r="FS40" s="142"/>
      <c r="FT40" s="142"/>
      <c r="FU40" s="142"/>
      <c r="FV40" s="142"/>
      <c r="FW40" s="142"/>
      <c r="FX40" s="142"/>
      <c r="FY40" s="142"/>
      <c r="FZ40" s="142"/>
      <c r="GA40" s="142"/>
      <c r="GB40" s="142"/>
      <c r="GC40" s="142"/>
      <c r="GD40" s="142"/>
      <c r="GE40" s="142"/>
      <c r="GF40" s="142"/>
      <c r="GG40" s="142"/>
      <c r="GH40" s="142"/>
      <c r="GI40" s="142"/>
      <c r="GJ40" s="142"/>
      <c r="GK40" s="142"/>
      <c r="GL40" s="142"/>
      <c r="GM40" s="142"/>
      <c r="GN40" s="142"/>
      <c r="GO40" s="142"/>
      <c r="GP40" s="142"/>
      <c r="GQ40" s="142"/>
      <c r="GR40" s="142"/>
      <c r="GS40" s="142"/>
      <c r="GT40" s="142"/>
      <c r="GU40" s="142"/>
      <c r="GV40" s="142"/>
      <c r="GW40" s="142"/>
      <c r="GX40" s="142"/>
      <c r="GY40" s="142"/>
      <c r="GZ40" s="142"/>
      <c r="HA40" s="142"/>
      <c r="HB40" s="142"/>
      <c r="HC40" s="142"/>
      <c r="HD40" s="142"/>
      <c r="HE40" s="142"/>
      <c r="HF40" s="142"/>
      <c r="HG40" s="142"/>
      <c r="HH40" s="142"/>
      <c r="HI40" s="142"/>
      <c r="HJ40" s="142"/>
      <c r="HK40" s="142"/>
      <c r="HL40" s="142"/>
      <c r="HM40" s="142"/>
      <c r="HN40" s="142"/>
      <c r="HO40" s="142"/>
      <c r="HP40" s="142"/>
      <c r="HQ40" s="142"/>
      <c r="HR40" s="142"/>
      <c r="HS40" s="142"/>
      <c r="HT40" s="142"/>
      <c r="HU40" s="142"/>
      <c r="HV40" s="142"/>
      <c r="HW40" s="142"/>
      <c r="HX40" s="142"/>
      <c r="HY40" s="142"/>
      <c r="HZ40" s="142"/>
      <c r="IA40" s="142"/>
      <c r="IB40" s="142"/>
      <c r="IC40" s="142"/>
      <c r="ID40" s="142"/>
      <c r="IE40" s="142"/>
      <c r="IF40" s="142"/>
      <c r="IG40" s="142"/>
      <c r="IH40" s="142"/>
      <c r="II40" s="142"/>
      <c r="IJ40" s="142"/>
      <c r="IK40" s="142"/>
      <c r="IL40" s="142"/>
      <c r="IM40" s="142"/>
      <c r="IN40" s="142"/>
      <c r="IO40" s="142"/>
      <c r="IP40" s="142"/>
      <c r="IQ40" s="142"/>
      <c r="IR40" s="142"/>
      <c r="IS40" s="142"/>
      <c r="IT40" s="142"/>
      <c r="IU40" s="142"/>
      <c r="IV40" s="142"/>
      <c r="IW40" s="142"/>
      <c r="IX40" s="142"/>
      <c r="IY40" s="142"/>
      <c r="IZ40" s="142"/>
      <c r="JA40" s="142"/>
      <c r="JB40" s="142"/>
      <c r="JC40" s="143"/>
    </row>
    <row r="41" spans="1:263" s="67" customFormat="1" ht="45.5" customHeight="1" x14ac:dyDescent="0.25">
      <c r="A41" s="165">
        <v>10</v>
      </c>
      <c r="B41" s="166" t="s">
        <v>165</v>
      </c>
      <c r="C41" s="167"/>
      <c r="D41" s="168"/>
      <c r="E41" s="169"/>
      <c r="F41" s="170"/>
      <c r="G41" s="171"/>
      <c r="H41" s="172"/>
      <c r="I41" s="136"/>
      <c r="J41" s="137"/>
      <c r="K41" s="138"/>
      <c r="L41" s="138"/>
      <c r="M41" s="138"/>
      <c r="N41" s="138"/>
      <c r="O41" s="138"/>
      <c r="P41" s="138"/>
      <c r="Q41" s="138"/>
      <c r="R41" s="138"/>
      <c r="S41" s="138"/>
      <c r="T41" s="138"/>
      <c r="U41" s="138"/>
      <c r="V41" s="138"/>
      <c r="W41" s="138"/>
      <c r="X41" s="138"/>
      <c r="Y41" s="138"/>
      <c r="Z41" s="138"/>
      <c r="AA41" s="138"/>
      <c r="AB41" s="138"/>
      <c r="AC41" s="138"/>
      <c r="AD41" s="138"/>
      <c r="AE41" s="138"/>
      <c r="AF41" s="138"/>
      <c r="AG41" s="138"/>
      <c r="AH41" s="138"/>
      <c r="AI41" s="138"/>
      <c r="AJ41" s="138"/>
      <c r="AK41" s="138"/>
      <c r="AL41" s="138"/>
      <c r="AM41" s="138"/>
      <c r="AN41" s="138"/>
      <c r="AO41" s="138"/>
      <c r="AP41" s="138"/>
      <c r="AQ41" s="138"/>
      <c r="AR41" s="138"/>
      <c r="AS41" s="138"/>
      <c r="AT41" s="138"/>
      <c r="AU41" s="138"/>
      <c r="AV41" s="138"/>
      <c r="AW41" s="138"/>
      <c r="AX41" s="138"/>
      <c r="AY41" s="138"/>
      <c r="AZ41" s="138"/>
      <c r="BA41" s="138"/>
      <c r="BB41" s="138"/>
      <c r="BC41" s="138"/>
      <c r="BD41" s="138"/>
      <c r="BE41" s="138"/>
      <c r="BF41" s="138"/>
      <c r="BG41" s="138"/>
      <c r="BH41" s="138"/>
      <c r="BI41" s="138"/>
      <c r="BJ41" s="138"/>
      <c r="BK41" s="138"/>
      <c r="BL41" s="138"/>
      <c r="BM41" s="138"/>
      <c r="BN41" s="138"/>
      <c r="BO41" s="138"/>
      <c r="BP41" s="138"/>
      <c r="BQ41" s="138"/>
      <c r="BR41" s="138"/>
      <c r="BS41" s="138"/>
      <c r="BT41" s="138"/>
      <c r="BU41" s="138"/>
      <c r="BV41" s="138"/>
      <c r="BW41" s="138"/>
      <c r="BX41" s="138"/>
      <c r="BY41" s="138"/>
      <c r="BZ41" s="138"/>
      <c r="CA41" s="138"/>
      <c r="CB41" s="138"/>
      <c r="CC41" s="138"/>
      <c r="CD41" s="138"/>
      <c r="CE41" s="138"/>
      <c r="CF41" s="138"/>
      <c r="CG41" s="138"/>
      <c r="CH41" s="138"/>
      <c r="CI41" s="138"/>
      <c r="CJ41" s="138"/>
      <c r="CK41" s="138"/>
      <c r="CL41" s="138"/>
      <c r="CM41" s="138"/>
      <c r="CN41" s="138"/>
      <c r="CO41" s="138"/>
      <c r="CP41" s="138"/>
      <c r="CQ41" s="138"/>
      <c r="CR41" s="138"/>
      <c r="CS41" s="138"/>
      <c r="CT41" s="138"/>
      <c r="CU41" s="138"/>
      <c r="CV41" s="138"/>
      <c r="CW41" s="138"/>
      <c r="CX41" s="138"/>
      <c r="CY41" s="138"/>
      <c r="CZ41" s="138"/>
      <c r="DA41" s="138"/>
      <c r="DB41" s="138"/>
      <c r="DC41" s="138"/>
      <c r="DD41" s="138"/>
      <c r="DE41" s="138"/>
      <c r="DF41" s="138"/>
      <c r="DG41" s="138"/>
      <c r="DH41" s="138"/>
      <c r="DI41" s="138"/>
      <c r="DJ41" s="138"/>
      <c r="DK41" s="138"/>
      <c r="DL41" s="138"/>
      <c r="DM41" s="138"/>
      <c r="DN41" s="138"/>
      <c r="DO41" s="138"/>
      <c r="DP41" s="138"/>
      <c r="DQ41" s="138"/>
      <c r="DR41" s="138"/>
      <c r="DS41" s="138"/>
      <c r="DT41" s="138"/>
      <c r="DU41" s="138"/>
      <c r="DV41" s="138"/>
      <c r="DW41" s="138"/>
      <c r="DX41" s="138"/>
      <c r="DY41" s="138"/>
      <c r="DZ41" s="138"/>
      <c r="EA41" s="138"/>
      <c r="EB41" s="138"/>
      <c r="EC41" s="138"/>
      <c r="ED41" s="138"/>
      <c r="EE41" s="138"/>
      <c r="EF41" s="138"/>
      <c r="EG41" s="138"/>
      <c r="EH41" s="138"/>
      <c r="EI41" s="138"/>
      <c r="EJ41" s="138"/>
      <c r="EK41" s="138"/>
      <c r="EL41" s="138"/>
      <c r="EM41" s="138"/>
      <c r="EN41" s="138"/>
      <c r="EO41" s="138"/>
      <c r="EP41" s="138"/>
      <c r="EQ41" s="138"/>
      <c r="ER41" s="138"/>
      <c r="ES41" s="138"/>
      <c r="ET41" s="138"/>
      <c r="EU41" s="138"/>
      <c r="EV41" s="138"/>
      <c r="EW41" s="138"/>
      <c r="EX41" s="138"/>
      <c r="EY41" s="138"/>
      <c r="EZ41" s="138"/>
      <c r="FA41" s="138"/>
      <c r="FB41" s="138"/>
      <c r="FC41" s="138"/>
      <c r="FD41" s="138"/>
      <c r="FE41" s="138"/>
      <c r="FF41" s="138"/>
      <c r="FG41" s="138"/>
      <c r="FH41" s="138"/>
      <c r="FI41" s="138"/>
      <c r="FJ41" s="138"/>
      <c r="FK41" s="138"/>
      <c r="FL41" s="138"/>
      <c r="FM41" s="138"/>
      <c r="FN41" s="138"/>
      <c r="FO41" s="138"/>
      <c r="FP41" s="138"/>
      <c r="FQ41" s="138"/>
      <c r="FR41" s="138"/>
      <c r="FS41" s="138"/>
      <c r="FT41" s="138"/>
      <c r="FU41" s="138"/>
      <c r="FV41" s="138"/>
      <c r="FW41" s="138"/>
      <c r="FX41" s="138"/>
      <c r="FY41" s="138"/>
      <c r="FZ41" s="138"/>
      <c r="GA41" s="138"/>
      <c r="GB41" s="138"/>
      <c r="GC41" s="138"/>
      <c r="GD41" s="138"/>
      <c r="GE41" s="138"/>
      <c r="GF41" s="138"/>
      <c r="GG41" s="138"/>
      <c r="GH41" s="138"/>
      <c r="GI41" s="138"/>
      <c r="GJ41" s="138"/>
      <c r="GK41" s="138"/>
      <c r="GL41" s="138"/>
      <c r="GM41" s="138"/>
      <c r="GN41" s="138"/>
      <c r="GO41" s="138"/>
      <c r="GP41" s="138"/>
      <c r="GQ41" s="138"/>
      <c r="GR41" s="138"/>
      <c r="GS41" s="138"/>
      <c r="GT41" s="138"/>
      <c r="GU41" s="138"/>
      <c r="GV41" s="138"/>
      <c r="GW41" s="138"/>
      <c r="GX41" s="138"/>
      <c r="GY41" s="138"/>
      <c r="GZ41" s="138"/>
      <c r="HA41" s="138"/>
      <c r="HB41" s="138"/>
      <c r="HC41" s="138"/>
      <c r="HD41" s="138"/>
      <c r="HE41" s="138"/>
      <c r="HF41" s="138"/>
      <c r="HG41" s="138"/>
      <c r="HH41" s="138"/>
      <c r="HI41" s="138"/>
      <c r="HJ41" s="138"/>
      <c r="HK41" s="138"/>
      <c r="HL41" s="138"/>
      <c r="HM41" s="138"/>
      <c r="HN41" s="138"/>
      <c r="HO41" s="138"/>
      <c r="HP41" s="138"/>
      <c r="HQ41" s="138"/>
      <c r="HR41" s="138"/>
      <c r="HS41" s="138"/>
      <c r="HT41" s="138"/>
      <c r="HU41" s="138"/>
      <c r="HV41" s="138"/>
      <c r="HW41" s="138"/>
      <c r="HX41" s="138"/>
      <c r="HY41" s="138"/>
      <c r="HZ41" s="138"/>
      <c r="IA41" s="138"/>
      <c r="IB41" s="138"/>
      <c r="IC41" s="138"/>
      <c r="ID41" s="138"/>
      <c r="IE41" s="138"/>
      <c r="IF41" s="138"/>
      <c r="IG41" s="138"/>
      <c r="IH41" s="138"/>
      <c r="II41" s="138"/>
      <c r="IJ41" s="138"/>
      <c r="IK41" s="138"/>
      <c r="IL41" s="138"/>
      <c r="IM41" s="138"/>
      <c r="IN41" s="138"/>
      <c r="IO41" s="138"/>
      <c r="IP41" s="138"/>
      <c r="IQ41" s="138"/>
      <c r="IR41" s="138"/>
      <c r="IS41" s="138"/>
      <c r="IT41" s="138"/>
      <c r="IU41" s="138"/>
      <c r="IV41" s="138"/>
      <c r="IW41" s="138"/>
      <c r="IX41" s="138"/>
      <c r="IY41" s="138"/>
      <c r="IZ41" s="138"/>
      <c r="JA41" s="138"/>
      <c r="JB41" s="138"/>
      <c r="JC41" s="139"/>
    </row>
    <row r="42" spans="1:263" s="66" customFormat="1" ht="40.5" customHeight="1" x14ac:dyDescent="0.25">
      <c r="A42" s="157">
        <v>10.1</v>
      </c>
      <c r="B42" s="158" t="s">
        <v>160</v>
      </c>
      <c r="C42" s="178" t="s">
        <v>175</v>
      </c>
      <c r="D42" s="160" t="s">
        <v>153</v>
      </c>
      <c r="E42" s="161">
        <v>46050</v>
      </c>
      <c r="F42" s="162">
        <v>46065</v>
      </c>
      <c r="G42" s="163">
        <v>32</v>
      </c>
      <c r="H42" s="164">
        <v>1</v>
      </c>
      <c r="I42" s="140">
        <v>24</v>
      </c>
      <c r="J42" s="133"/>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134"/>
      <c r="BY42" s="134"/>
      <c r="BZ42" s="134"/>
      <c r="CA42" s="134"/>
      <c r="CB42" s="134"/>
      <c r="CC42" s="134"/>
      <c r="CD42" s="134"/>
      <c r="CE42" s="134"/>
      <c r="CF42" s="134"/>
      <c r="CG42" s="134"/>
      <c r="CH42" s="134"/>
      <c r="CI42" s="134"/>
      <c r="CJ42" s="134"/>
      <c r="CK42" s="134"/>
      <c r="CL42" s="134"/>
      <c r="CM42" s="134"/>
      <c r="CN42" s="134"/>
      <c r="CO42" s="134"/>
      <c r="CP42" s="134"/>
      <c r="CQ42" s="134"/>
      <c r="CR42" s="134"/>
      <c r="CS42" s="134"/>
      <c r="CT42" s="134"/>
      <c r="CU42" s="134"/>
      <c r="CV42" s="134"/>
      <c r="CW42" s="134"/>
      <c r="CX42" s="134"/>
      <c r="CY42" s="134"/>
      <c r="CZ42" s="134"/>
      <c r="DA42" s="134"/>
      <c r="DB42" s="134"/>
      <c r="DC42" s="134"/>
      <c r="DD42" s="134"/>
      <c r="DE42" s="134"/>
      <c r="DF42" s="134"/>
      <c r="DG42" s="134"/>
      <c r="DH42" s="134"/>
      <c r="DI42" s="134"/>
      <c r="DJ42" s="134"/>
      <c r="DK42" s="134"/>
      <c r="DL42" s="134"/>
      <c r="DM42" s="134"/>
      <c r="DN42" s="134"/>
      <c r="DO42" s="134"/>
      <c r="DP42" s="134"/>
      <c r="DQ42" s="134"/>
      <c r="DR42" s="134"/>
      <c r="DS42" s="134"/>
      <c r="DT42" s="134"/>
      <c r="DU42" s="134"/>
      <c r="DV42" s="134"/>
      <c r="DW42" s="134"/>
      <c r="DX42" s="134"/>
      <c r="DY42" s="134"/>
      <c r="DZ42" s="134"/>
      <c r="EA42" s="134"/>
      <c r="EB42" s="134"/>
      <c r="EC42" s="134"/>
      <c r="ED42" s="134"/>
      <c r="EE42" s="134"/>
      <c r="EF42" s="134"/>
      <c r="EG42" s="134"/>
      <c r="EH42" s="134"/>
      <c r="EI42" s="134"/>
      <c r="EJ42" s="134"/>
      <c r="EK42" s="134"/>
      <c r="EL42" s="134"/>
      <c r="EM42" s="134"/>
      <c r="EN42" s="134"/>
      <c r="EO42" s="134"/>
      <c r="EP42" s="134"/>
      <c r="EQ42" s="134"/>
      <c r="ER42" s="134"/>
      <c r="ES42" s="134"/>
      <c r="ET42" s="134"/>
      <c r="EU42" s="134"/>
      <c r="EV42" s="134"/>
      <c r="EW42" s="134"/>
      <c r="EX42" s="134"/>
      <c r="EY42" s="134"/>
      <c r="EZ42" s="134"/>
      <c r="FA42" s="134"/>
      <c r="FB42" s="134"/>
      <c r="FC42" s="134"/>
      <c r="FD42" s="134"/>
      <c r="FE42" s="134"/>
      <c r="FF42" s="134"/>
      <c r="FG42" s="134"/>
      <c r="FH42" s="134"/>
      <c r="FI42" s="134"/>
      <c r="FJ42" s="134"/>
      <c r="FK42" s="134"/>
      <c r="FL42" s="134"/>
      <c r="FM42" s="134"/>
      <c r="FN42" s="134"/>
      <c r="FO42" s="134"/>
      <c r="FP42" s="134"/>
      <c r="FQ42" s="134"/>
      <c r="FR42" s="134"/>
      <c r="FS42" s="134"/>
      <c r="FT42" s="134"/>
      <c r="FU42" s="134"/>
      <c r="FV42" s="134"/>
      <c r="FW42" s="134"/>
      <c r="FX42" s="134"/>
      <c r="FY42" s="134"/>
      <c r="FZ42" s="134"/>
      <c r="GA42" s="134"/>
      <c r="GB42" s="134"/>
      <c r="GC42" s="134"/>
      <c r="GD42" s="134"/>
      <c r="GE42" s="134"/>
      <c r="GF42" s="134"/>
      <c r="GG42" s="134"/>
      <c r="GH42" s="134"/>
      <c r="GI42" s="134"/>
      <c r="GJ42" s="134"/>
      <c r="GK42" s="134"/>
      <c r="GL42" s="134"/>
      <c r="GM42" s="134"/>
      <c r="GN42" s="134"/>
      <c r="GO42" s="134"/>
      <c r="GP42" s="134"/>
      <c r="GQ42" s="134"/>
      <c r="GR42" s="134"/>
      <c r="GS42" s="134"/>
      <c r="GT42" s="134"/>
      <c r="GU42" s="134"/>
      <c r="GV42" s="134"/>
      <c r="GW42" s="134"/>
      <c r="GX42" s="134"/>
      <c r="GY42" s="134"/>
      <c r="GZ42" s="134"/>
      <c r="HA42" s="134"/>
      <c r="HB42" s="134"/>
      <c r="HC42" s="134"/>
      <c r="HD42" s="134"/>
      <c r="HE42" s="134"/>
      <c r="HF42" s="134"/>
      <c r="HG42" s="134"/>
      <c r="HH42" s="134"/>
      <c r="HI42" s="134"/>
      <c r="HJ42" s="134"/>
      <c r="HK42" s="134"/>
      <c r="HL42" s="134"/>
      <c r="HM42" s="134"/>
      <c r="HN42" s="134"/>
      <c r="HO42" s="134"/>
      <c r="HP42" s="134"/>
      <c r="HQ42" s="134"/>
      <c r="HR42" s="134"/>
      <c r="HS42" s="134"/>
      <c r="HT42" s="134"/>
      <c r="HU42" s="134"/>
      <c r="HV42" s="134"/>
      <c r="HW42" s="134"/>
      <c r="HX42" s="134"/>
      <c r="HY42" s="134"/>
      <c r="HZ42" s="134"/>
      <c r="IA42" s="134"/>
      <c r="IB42" s="134"/>
      <c r="IC42" s="134"/>
      <c r="ID42" s="134"/>
      <c r="IE42" s="134"/>
      <c r="IF42" s="134"/>
      <c r="IG42" s="134"/>
      <c r="IH42" s="134"/>
      <c r="II42" s="134"/>
      <c r="IJ42" s="134"/>
      <c r="IK42" s="134"/>
      <c r="IL42" s="134"/>
      <c r="IM42" s="134"/>
      <c r="IN42" s="134"/>
      <c r="IO42" s="134"/>
      <c r="IP42" s="134"/>
      <c r="IQ42" s="134"/>
      <c r="IR42" s="134"/>
      <c r="IS42" s="134"/>
      <c r="IT42" s="134"/>
      <c r="IU42" s="134"/>
      <c r="IV42" s="134"/>
      <c r="IW42" s="134"/>
      <c r="IX42" s="134"/>
      <c r="IY42" s="134"/>
      <c r="IZ42" s="134"/>
      <c r="JA42" s="134"/>
      <c r="JB42" s="134"/>
      <c r="JC42" s="135"/>
    </row>
    <row r="43" spans="1:263" s="66" customFormat="1" ht="40.5" customHeight="1" x14ac:dyDescent="0.25">
      <c r="A43" s="157">
        <v>10.199999999999999</v>
      </c>
      <c r="B43" s="158" t="s">
        <v>163</v>
      </c>
      <c r="C43" s="178" t="s">
        <v>175</v>
      </c>
      <c r="D43" s="160" t="s">
        <v>153</v>
      </c>
      <c r="E43" s="161">
        <v>46065</v>
      </c>
      <c r="F43" s="162">
        <v>46076</v>
      </c>
      <c r="G43" s="163">
        <v>32</v>
      </c>
      <c r="H43" s="164">
        <v>1</v>
      </c>
      <c r="I43" s="132">
        <v>24</v>
      </c>
      <c r="J43" s="133"/>
      <c r="K43" s="134"/>
      <c r="L43" s="134"/>
      <c r="M43" s="134"/>
      <c r="N43" s="134"/>
      <c r="O43" s="134"/>
      <c r="P43" s="134"/>
      <c r="Q43" s="134"/>
      <c r="R43" s="134"/>
      <c r="S43" s="134"/>
      <c r="T43" s="134"/>
      <c r="U43" s="134"/>
      <c r="V43" s="134"/>
      <c r="W43" s="134"/>
      <c r="X43" s="134"/>
      <c r="Y43" s="134"/>
      <c r="Z43" s="134"/>
      <c r="AA43" s="134"/>
      <c r="AB43" s="134"/>
      <c r="AC43" s="134"/>
      <c r="AD43" s="134"/>
      <c r="AE43" s="134"/>
      <c r="AF43" s="134"/>
      <c r="AG43" s="134"/>
      <c r="AH43" s="134"/>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134"/>
      <c r="BG43" s="134"/>
      <c r="BH43" s="134"/>
      <c r="BI43" s="134"/>
      <c r="BJ43" s="134"/>
      <c r="BK43" s="134"/>
      <c r="BL43" s="134"/>
      <c r="BM43" s="134"/>
      <c r="BN43" s="134"/>
      <c r="BO43" s="134"/>
      <c r="BP43" s="134"/>
      <c r="BQ43" s="134"/>
      <c r="BR43" s="134"/>
      <c r="BS43" s="134"/>
      <c r="BT43" s="134"/>
      <c r="BU43" s="134"/>
      <c r="BV43" s="134"/>
      <c r="BW43" s="134"/>
      <c r="BX43" s="134"/>
      <c r="BY43" s="134"/>
      <c r="BZ43" s="134"/>
      <c r="CA43" s="134"/>
      <c r="CB43" s="134"/>
      <c r="CC43" s="134"/>
      <c r="CD43" s="134"/>
      <c r="CE43" s="134"/>
      <c r="CF43" s="134"/>
      <c r="CG43" s="134"/>
      <c r="CH43" s="134"/>
      <c r="CI43" s="134"/>
      <c r="CJ43" s="134"/>
      <c r="CK43" s="134"/>
      <c r="CL43" s="134"/>
      <c r="CM43" s="134"/>
      <c r="CN43" s="134"/>
      <c r="CO43" s="134"/>
      <c r="CP43" s="134"/>
      <c r="CQ43" s="134"/>
      <c r="CR43" s="134"/>
      <c r="CS43" s="134"/>
      <c r="CT43" s="134"/>
      <c r="CU43" s="134"/>
      <c r="CV43" s="134"/>
      <c r="CW43" s="134"/>
      <c r="CX43" s="134"/>
      <c r="CY43" s="134"/>
      <c r="CZ43" s="134"/>
      <c r="DA43" s="134"/>
      <c r="DB43" s="134"/>
      <c r="DC43" s="134"/>
      <c r="DD43" s="134"/>
      <c r="DE43" s="134"/>
      <c r="DF43" s="134"/>
      <c r="DG43" s="134"/>
      <c r="DH43" s="134"/>
      <c r="DI43" s="134"/>
      <c r="DJ43" s="134"/>
      <c r="DK43" s="134"/>
      <c r="DL43" s="134"/>
      <c r="DM43" s="134"/>
      <c r="DN43" s="134"/>
      <c r="DO43" s="134"/>
      <c r="DP43" s="134"/>
      <c r="DQ43" s="134"/>
      <c r="DR43" s="134"/>
      <c r="DS43" s="134"/>
      <c r="DT43" s="134"/>
      <c r="DU43" s="134"/>
      <c r="DV43" s="134"/>
      <c r="DW43" s="134"/>
      <c r="DX43" s="134"/>
      <c r="DY43" s="134"/>
      <c r="DZ43" s="134"/>
      <c r="EA43" s="134"/>
      <c r="EB43" s="134"/>
      <c r="EC43" s="134"/>
      <c r="ED43" s="134"/>
      <c r="EE43" s="134"/>
      <c r="EF43" s="134"/>
      <c r="EG43" s="134"/>
      <c r="EH43" s="134"/>
      <c r="EI43" s="134"/>
      <c r="EJ43" s="134"/>
      <c r="EK43" s="134"/>
      <c r="EL43" s="134"/>
      <c r="EM43" s="134"/>
      <c r="EN43" s="134"/>
      <c r="EO43" s="134"/>
      <c r="EP43" s="134"/>
      <c r="EQ43" s="134"/>
      <c r="ER43" s="134"/>
      <c r="ES43" s="134"/>
      <c r="ET43" s="134"/>
      <c r="EU43" s="134"/>
      <c r="EV43" s="134"/>
      <c r="EW43" s="134"/>
      <c r="EX43" s="134"/>
      <c r="EY43" s="134"/>
      <c r="EZ43" s="134"/>
      <c r="FA43" s="134"/>
      <c r="FB43" s="134"/>
      <c r="FC43" s="134"/>
      <c r="FD43" s="134"/>
      <c r="FE43" s="134"/>
      <c r="FF43" s="134"/>
      <c r="FG43" s="134"/>
      <c r="FH43" s="134"/>
      <c r="FI43" s="134"/>
      <c r="FJ43" s="134"/>
      <c r="FK43" s="134"/>
      <c r="FL43" s="134"/>
      <c r="FM43" s="134"/>
      <c r="FN43" s="134"/>
      <c r="FO43" s="134"/>
      <c r="FP43" s="134"/>
      <c r="FQ43" s="134"/>
      <c r="FR43" s="134"/>
      <c r="FS43" s="134"/>
      <c r="FT43" s="134"/>
      <c r="FU43" s="134"/>
      <c r="FV43" s="134"/>
      <c r="FW43" s="134"/>
      <c r="FX43" s="134"/>
      <c r="FY43" s="134"/>
      <c r="FZ43" s="134"/>
      <c r="GA43" s="134"/>
      <c r="GB43" s="134"/>
      <c r="GC43" s="134"/>
      <c r="GD43" s="134"/>
      <c r="GE43" s="134"/>
      <c r="GF43" s="134"/>
      <c r="GG43" s="134"/>
      <c r="GH43" s="134"/>
      <c r="GI43" s="134"/>
      <c r="GJ43" s="134"/>
      <c r="GK43" s="134"/>
      <c r="GL43" s="134"/>
      <c r="GM43" s="134"/>
      <c r="GN43" s="134"/>
      <c r="GO43" s="134"/>
      <c r="GP43" s="134"/>
      <c r="GQ43" s="134"/>
      <c r="GR43" s="134"/>
      <c r="GS43" s="134"/>
      <c r="GT43" s="134"/>
      <c r="GU43" s="134"/>
      <c r="GV43" s="134"/>
      <c r="GW43" s="134"/>
      <c r="GX43" s="134"/>
      <c r="GY43" s="134"/>
      <c r="GZ43" s="134"/>
      <c r="HA43" s="134"/>
      <c r="HB43" s="134"/>
      <c r="HC43" s="134"/>
      <c r="HD43" s="134"/>
      <c r="HE43" s="134"/>
      <c r="HF43" s="134"/>
      <c r="HG43" s="134"/>
      <c r="HH43" s="134"/>
      <c r="HI43" s="134"/>
      <c r="HJ43" s="134"/>
      <c r="HK43" s="134"/>
      <c r="HL43" s="134"/>
      <c r="HM43" s="134"/>
      <c r="HN43" s="134"/>
      <c r="HO43" s="134"/>
      <c r="HP43" s="134"/>
      <c r="HQ43" s="134"/>
      <c r="HR43" s="134"/>
      <c r="HS43" s="134"/>
      <c r="HT43" s="134"/>
      <c r="HU43" s="134"/>
      <c r="HV43" s="134"/>
      <c r="HW43" s="134"/>
      <c r="HX43" s="134"/>
      <c r="HY43" s="134"/>
      <c r="HZ43" s="134"/>
      <c r="IA43" s="134"/>
      <c r="IB43" s="134"/>
      <c r="IC43" s="134"/>
      <c r="ID43" s="134"/>
      <c r="IE43" s="134"/>
      <c r="IF43" s="134"/>
      <c r="IG43" s="134"/>
      <c r="IH43" s="134"/>
      <c r="II43" s="134"/>
      <c r="IJ43" s="134"/>
      <c r="IK43" s="134"/>
      <c r="IL43" s="134"/>
      <c r="IM43" s="134"/>
      <c r="IN43" s="134"/>
      <c r="IO43" s="134"/>
      <c r="IP43" s="134"/>
      <c r="IQ43" s="134"/>
      <c r="IR43" s="134"/>
      <c r="IS43" s="134"/>
      <c r="IT43" s="134"/>
      <c r="IU43" s="134"/>
      <c r="IV43" s="134"/>
      <c r="IW43" s="134"/>
      <c r="IX43" s="134"/>
      <c r="IY43" s="134"/>
      <c r="IZ43" s="134"/>
      <c r="JA43" s="134"/>
      <c r="JB43" s="134"/>
      <c r="JC43" s="135"/>
    </row>
    <row r="44" spans="1:263" s="66" customFormat="1" ht="40" customHeight="1" x14ac:dyDescent="0.25">
      <c r="A44" s="157">
        <v>10.3</v>
      </c>
      <c r="B44" s="158" t="s">
        <v>164</v>
      </c>
      <c r="C44" s="178" t="s">
        <v>175</v>
      </c>
      <c r="D44" s="160" t="s">
        <v>153</v>
      </c>
      <c r="E44" s="161">
        <v>46068</v>
      </c>
      <c r="F44" s="162">
        <v>46091</v>
      </c>
      <c r="G44" s="163">
        <v>32</v>
      </c>
      <c r="H44" s="164">
        <v>1</v>
      </c>
      <c r="I44" s="132">
        <v>24</v>
      </c>
      <c r="J44" s="133"/>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c r="AH44" s="134"/>
      <c r="AI44" s="134"/>
      <c r="AJ44" s="134"/>
      <c r="AK44" s="134"/>
      <c r="AL44" s="134"/>
      <c r="AM44" s="134"/>
      <c r="AN44" s="134"/>
      <c r="AO44" s="134"/>
      <c r="AP44" s="134"/>
      <c r="AQ44" s="134"/>
      <c r="AR44" s="134"/>
      <c r="AS44" s="134"/>
      <c r="AT44" s="134"/>
      <c r="AU44" s="134"/>
      <c r="AV44" s="134"/>
      <c r="AW44" s="134"/>
      <c r="AX44" s="134"/>
      <c r="AY44" s="134"/>
      <c r="AZ44" s="134"/>
      <c r="BA44" s="134"/>
      <c r="BB44" s="134"/>
      <c r="BC44" s="134"/>
      <c r="BD44" s="134"/>
      <c r="BE44" s="134"/>
      <c r="BF44" s="134"/>
      <c r="BG44" s="134"/>
      <c r="BH44" s="134"/>
      <c r="BI44" s="134"/>
      <c r="BJ44" s="134"/>
      <c r="BK44" s="134"/>
      <c r="BL44" s="134"/>
      <c r="BM44" s="134"/>
      <c r="BN44" s="134"/>
      <c r="BO44" s="134"/>
      <c r="BP44" s="134"/>
      <c r="BQ44" s="134"/>
      <c r="BR44" s="134"/>
      <c r="BS44" s="134"/>
      <c r="BT44" s="134"/>
      <c r="BU44" s="134"/>
      <c r="BV44" s="134"/>
      <c r="BW44" s="134"/>
      <c r="BX44" s="134"/>
      <c r="BY44" s="134"/>
      <c r="BZ44" s="134"/>
      <c r="CA44" s="134"/>
      <c r="CB44" s="134"/>
      <c r="CC44" s="134"/>
      <c r="CD44" s="134"/>
      <c r="CE44" s="134"/>
      <c r="CF44" s="134"/>
      <c r="CG44" s="134"/>
      <c r="CH44" s="134"/>
      <c r="CI44" s="134"/>
      <c r="CJ44" s="134"/>
      <c r="CK44" s="134"/>
      <c r="CL44" s="134"/>
      <c r="CM44" s="134"/>
      <c r="CN44" s="134"/>
      <c r="CO44" s="134"/>
      <c r="CP44" s="134"/>
      <c r="CQ44" s="134"/>
      <c r="CR44" s="134"/>
      <c r="CS44" s="134"/>
      <c r="CT44" s="134"/>
      <c r="CU44" s="134"/>
      <c r="CV44" s="134"/>
      <c r="CW44" s="134"/>
      <c r="CX44" s="134"/>
      <c r="CY44" s="134"/>
      <c r="CZ44" s="134"/>
      <c r="DA44" s="134"/>
      <c r="DB44" s="134"/>
      <c r="DC44" s="134"/>
      <c r="DD44" s="134"/>
      <c r="DE44" s="134"/>
      <c r="DF44" s="134"/>
      <c r="DG44" s="134"/>
      <c r="DH44" s="134"/>
      <c r="DI44" s="134"/>
      <c r="DJ44" s="134"/>
      <c r="DK44" s="134"/>
      <c r="DL44" s="134"/>
      <c r="DM44" s="134"/>
      <c r="DN44" s="134"/>
      <c r="DO44" s="134"/>
      <c r="DP44" s="134"/>
      <c r="DQ44" s="134"/>
      <c r="DR44" s="134"/>
      <c r="DS44" s="134"/>
      <c r="DT44" s="134"/>
      <c r="DU44" s="134"/>
      <c r="DV44" s="134"/>
      <c r="DW44" s="134"/>
      <c r="DX44" s="134"/>
      <c r="DY44" s="134"/>
      <c r="DZ44" s="134"/>
      <c r="EA44" s="134"/>
      <c r="EB44" s="134"/>
      <c r="EC44" s="134"/>
      <c r="ED44" s="134"/>
      <c r="EE44" s="134"/>
      <c r="EF44" s="134"/>
      <c r="EG44" s="134"/>
      <c r="EH44" s="134"/>
      <c r="EI44" s="134"/>
      <c r="EJ44" s="134"/>
      <c r="EK44" s="134"/>
      <c r="EL44" s="134"/>
      <c r="EM44" s="134"/>
      <c r="EN44" s="134"/>
      <c r="EO44" s="134"/>
      <c r="EP44" s="134"/>
      <c r="EQ44" s="134"/>
      <c r="ER44" s="134"/>
      <c r="ES44" s="134"/>
      <c r="ET44" s="134"/>
      <c r="EU44" s="134"/>
      <c r="EV44" s="134"/>
      <c r="EW44" s="134"/>
      <c r="EX44" s="134"/>
      <c r="EY44" s="134"/>
      <c r="EZ44" s="134"/>
      <c r="FA44" s="134"/>
      <c r="FB44" s="134"/>
      <c r="FC44" s="134"/>
      <c r="FD44" s="134"/>
      <c r="FE44" s="134"/>
      <c r="FF44" s="134"/>
      <c r="FG44" s="134"/>
      <c r="FH44" s="134"/>
      <c r="FI44" s="134"/>
      <c r="FJ44" s="134"/>
      <c r="FK44" s="134"/>
      <c r="FL44" s="134"/>
      <c r="FM44" s="134"/>
      <c r="FN44" s="134"/>
      <c r="FO44" s="134"/>
      <c r="FP44" s="134"/>
      <c r="FQ44" s="134"/>
      <c r="FR44" s="134"/>
      <c r="FS44" s="134"/>
      <c r="FT44" s="134"/>
      <c r="FU44" s="134"/>
      <c r="FV44" s="134"/>
      <c r="FW44" s="134"/>
      <c r="FX44" s="134"/>
      <c r="FY44" s="134"/>
      <c r="FZ44" s="134"/>
      <c r="GA44" s="134"/>
      <c r="GB44" s="134"/>
      <c r="GC44" s="134"/>
      <c r="GD44" s="134"/>
      <c r="GE44" s="134"/>
      <c r="GF44" s="134"/>
      <c r="GG44" s="134"/>
      <c r="GH44" s="134"/>
      <c r="GI44" s="134"/>
      <c r="GJ44" s="134"/>
      <c r="GK44" s="134"/>
      <c r="GL44" s="134"/>
      <c r="GM44" s="134"/>
      <c r="GN44" s="134"/>
      <c r="GO44" s="134"/>
      <c r="GP44" s="134"/>
      <c r="GQ44" s="134"/>
      <c r="GR44" s="134"/>
      <c r="GS44" s="134"/>
      <c r="GT44" s="134"/>
      <c r="GU44" s="134"/>
      <c r="GV44" s="134"/>
      <c r="GW44" s="134"/>
      <c r="GX44" s="134"/>
      <c r="GY44" s="134"/>
      <c r="GZ44" s="134"/>
      <c r="HA44" s="134"/>
      <c r="HB44" s="134"/>
      <c r="HC44" s="134"/>
      <c r="HD44" s="134"/>
      <c r="HE44" s="134"/>
      <c r="HF44" s="134"/>
      <c r="HG44" s="134"/>
      <c r="HH44" s="134"/>
      <c r="HI44" s="134"/>
      <c r="HJ44" s="134"/>
      <c r="HK44" s="134"/>
      <c r="HL44" s="134"/>
      <c r="HM44" s="134"/>
      <c r="HN44" s="134"/>
      <c r="HO44" s="134"/>
      <c r="HP44" s="134"/>
      <c r="HQ44" s="134"/>
      <c r="HR44" s="134"/>
      <c r="HS44" s="134"/>
      <c r="HT44" s="134"/>
      <c r="HU44" s="134"/>
      <c r="HV44" s="134"/>
      <c r="HW44" s="134"/>
      <c r="HX44" s="134"/>
      <c r="HY44" s="134"/>
      <c r="HZ44" s="134"/>
      <c r="IA44" s="134"/>
      <c r="IB44" s="134"/>
      <c r="IC44" s="134"/>
      <c r="ID44" s="134"/>
      <c r="IE44" s="134"/>
      <c r="IF44" s="134"/>
      <c r="IG44" s="134"/>
      <c r="IH44" s="134"/>
      <c r="II44" s="134"/>
      <c r="IJ44" s="134"/>
      <c r="IK44" s="134"/>
      <c r="IL44" s="134"/>
      <c r="IM44" s="134"/>
      <c r="IN44" s="134"/>
      <c r="IO44" s="134"/>
      <c r="IP44" s="134"/>
      <c r="IQ44" s="134"/>
      <c r="IR44" s="134"/>
      <c r="IS44" s="134"/>
      <c r="IT44" s="134"/>
      <c r="IU44" s="134"/>
      <c r="IV44" s="134"/>
      <c r="IW44" s="134"/>
      <c r="IX44" s="134"/>
      <c r="IY44" s="134"/>
      <c r="IZ44" s="134"/>
      <c r="JA44" s="134"/>
      <c r="JB44" s="134"/>
      <c r="JC44" s="135"/>
    </row>
    <row r="45" spans="1:263" s="67" customFormat="1" ht="46.5" customHeight="1" x14ac:dyDescent="0.25">
      <c r="A45" s="165">
        <v>10</v>
      </c>
      <c r="B45" s="166" t="s">
        <v>166</v>
      </c>
      <c r="C45" s="167"/>
      <c r="D45" s="168"/>
      <c r="E45" s="169"/>
      <c r="F45" s="170"/>
      <c r="G45" s="171"/>
      <c r="H45" s="136"/>
      <c r="I45" s="136"/>
      <c r="J45" s="137"/>
      <c r="K45" s="138"/>
      <c r="L45" s="138"/>
      <c r="M45" s="138"/>
      <c r="N45" s="138"/>
      <c r="O45" s="138"/>
      <c r="P45" s="138"/>
      <c r="Q45" s="138"/>
      <c r="R45" s="138"/>
      <c r="S45" s="138"/>
      <c r="T45" s="138"/>
      <c r="U45" s="138"/>
      <c r="V45" s="138"/>
      <c r="W45" s="138"/>
      <c r="X45" s="138"/>
      <c r="Y45" s="138"/>
      <c r="Z45" s="138"/>
      <c r="AA45" s="138"/>
      <c r="AB45" s="138"/>
      <c r="AC45" s="138"/>
      <c r="AD45" s="138"/>
      <c r="AE45" s="138"/>
      <c r="AF45" s="138"/>
      <c r="AG45" s="138"/>
      <c r="AH45" s="138"/>
      <c r="AI45" s="138"/>
      <c r="AJ45" s="138"/>
      <c r="AK45" s="138"/>
      <c r="AL45" s="138"/>
      <c r="AM45" s="138"/>
      <c r="AN45" s="138"/>
      <c r="AO45" s="138"/>
      <c r="AP45" s="138"/>
      <c r="AQ45" s="138"/>
      <c r="AR45" s="138"/>
      <c r="AS45" s="138"/>
      <c r="AT45" s="138"/>
      <c r="AU45" s="138"/>
      <c r="AV45" s="138"/>
      <c r="AW45" s="138"/>
      <c r="AX45" s="138"/>
      <c r="AY45" s="138"/>
      <c r="AZ45" s="138"/>
      <c r="BA45" s="138"/>
      <c r="BB45" s="138"/>
      <c r="BC45" s="138"/>
      <c r="BD45" s="138"/>
      <c r="BE45" s="138"/>
      <c r="BF45" s="138"/>
      <c r="BG45" s="138"/>
      <c r="BH45" s="138"/>
      <c r="BI45" s="138"/>
      <c r="BJ45" s="138"/>
      <c r="BK45" s="138"/>
      <c r="BL45" s="138"/>
      <c r="BM45" s="138"/>
      <c r="BN45" s="138"/>
      <c r="BO45" s="138"/>
      <c r="BP45" s="138"/>
      <c r="BQ45" s="138"/>
      <c r="BR45" s="138"/>
      <c r="BS45" s="138"/>
      <c r="BT45" s="138"/>
      <c r="BU45" s="138"/>
      <c r="BV45" s="138"/>
      <c r="BW45" s="138"/>
      <c r="BX45" s="138"/>
      <c r="BY45" s="138"/>
      <c r="BZ45" s="138"/>
      <c r="CA45" s="138"/>
      <c r="CB45" s="138"/>
      <c r="CC45" s="138"/>
      <c r="CD45" s="138"/>
      <c r="CE45" s="138"/>
      <c r="CF45" s="138"/>
      <c r="CG45" s="138"/>
      <c r="CH45" s="138"/>
      <c r="CI45" s="138"/>
      <c r="CJ45" s="138"/>
      <c r="CK45" s="138"/>
      <c r="CL45" s="138"/>
      <c r="CM45" s="138"/>
      <c r="CN45" s="138"/>
      <c r="CO45" s="138"/>
      <c r="CP45" s="138"/>
      <c r="CQ45" s="138"/>
      <c r="CR45" s="138"/>
      <c r="CS45" s="138"/>
      <c r="CT45" s="138"/>
      <c r="CU45" s="138"/>
      <c r="CV45" s="138"/>
      <c r="CW45" s="138"/>
      <c r="CX45" s="138"/>
      <c r="CY45" s="138"/>
      <c r="CZ45" s="138"/>
      <c r="DA45" s="138"/>
      <c r="DB45" s="138"/>
      <c r="DC45" s="138"/>
      <c r="DD45" s="138"/>
      <c r="DE45" s="138"/>
      <c r="DF45" s="138"/>
      <c r="DG45" s="138"/>
      <c r="DH45" s="138"/>
      <c r="DI45" s="138"/>
      <c r="DJ45" s="138"/>
      <c r="DK45" s="138"/>
      <c r="DL45" s="138"/>
      <c r="DM45" s="138"/>
      <c r="DN45" s="138"/>
      <c r="DO45" s="138"/>
      <c r="DP45" s="138"/>
      <c r="DQ45" s="138"/>
      <c r="DR45" s="138"/>
      <c r="DS45" s="138"/>
      <c r="DT45" s="138"/>
      <c r="DU45" s="138"/>
      <c r="DV45" s="138"/>
      <c r="DW45" s="138"/>
      <c r="DX45" s="138"/>
      <c r="DY45" s="138"/>
      <c r="DZ45" s="138"/>
      <c r="EA45" s="138"/>
      <c r="EB45" s="138"/>
      <c r="EC45" s="138"/>
      <c r="ED45" s="138"/>
      <c r="EE45" s="138"/>
      <c r="EF45" s="138"/>
      <c r="EG45" s="138"/>
      <c r="EH45" s="138"/>
      <c r="EI45" s="138"/>
      <c r="EJ45" s="138"/>
      <c r="EK45" s="138"/>
      <c r="EL45" s="138"/>
      <c r="EM45" s="138"/>
      <c r="EN45" s="138"/>
      <c r="EO45" s="138"/>
      <c r="EP45" s="138"/>
      <c r="EQ45" s="138"/>
      <c r="ER45" s="138"/>
      <c r="ES45" s="138"/>
      <c r="ET45" s="138"/>
      <c r="EU45" s="138"/>
      <c r="EV45" s="138"/>
      <c r="EW45" s="138"/>
      <c r="EX45" s="138"/>
      <c r="EY45" s="138"/>
      <c r="EZ45" s="138"/>
      <c r="FA45" s="138"/>
      <c r="FB45" s="138"/>
      <c r="FC45" s="138"/>
      <c r="FD45" s="138"/>
      <c r="FE45" s="138"/>
      <c r="FF45" s="138"/>
      <c r="FG45" s="138"/>
      <c r="FH45" s="138"/>
      <c r="FI45" s="138"/>
      <c r="FJ45" s="138"/>
      <c r="FK45" s="138"/>
      <c r="FL45" s="138"/>
      <c r="FM45" s="138"/>
      <c r="FN45" s="138"/>
      <c r="FO45" s="138"/>
      <c r="FP45" s="138"/>
      <c r="FQ45" s="138"/>
      <c r="FR45" s="138"/>
      <c r="FS45" s="138"/>
      <c r="FT45" s="138"/>
      <c r="FU45" s="138"/>
      <c r="FV45" s="138"/>
      <c r="FW45" s="138"/>
      <c r="FX45" s="138"/>
      <c r="FY45" s="138"/>
      <c r="FZ45" s="138"/>
      <c r="GA45" s="138"/>
      <c r="GB45" s="138"/>
      <c r="GC45" s="138"/>
      <c r="GD45" s="138"/>
      <c r="GE45" s="138"/>
      <c r="GF45" s="138"/>
      <c r="GG45" s="138"/>
      <c r="GH45" s="138"/>
      <c r="GI45" s="138"/>
      <c r="GJ45" s="138"/>
      <c r="GK45" s="138"/>
      <c r="GL45" s="138"/>
      <c r="GM45" s="138"/>
      <c r="GN45" s="138"/>
      <c r="GO45" s="138"/>
      <c r="GP45" s="138"/>
      <c r="GQ45" s="138"/>
      <c r="GR45" s="138"/>
      <c r="GS45" s="138"/>
      <c r="GT45" s="138"/>
      <c r="GU45" s="138"/>
      <c r="GV45" s="138"/>
      <c r="GW45" s="138"/>
      <c r="GX45" s="138"/>
      <c r="GY45" s="138"/>
      <c r="GZ45" s="138"/>
      <c r="HA45" s="138"/>
      <c r="HB45" s="138"/>
      <c r="HC45" s="138"/>
      <c r="HD45" s="138"/>
      <c r="HE45" s="138"/>
      <c r="HF45" s="138"/>
      <c r="HG45" s="138"/>
      <c r="HH45" s="138"/>
      <c r="HI45" s="138"/>
      <c r="HJ45" s="138"/>
      <c r="HK45" s="138"/>
      <c r="HL45" s="138"/>
      <c r="HM45" s="138"/>
      <c r="HN45" s="138"/>
      <c r="HO45" s="138"/>
      <c r="HP45" s="138"/>
      <c r="HQ45" s="138"/>
      <c r="HR45" s="138"/>
      <c r="HS45" s="138"/>
      <c r="HT45" s="138"/>
      <c r="HU45" s="138"/>
      <c r="HV45" s="138"/>
      <c r="HW45" s="138"/>
      <c r="HX45" s="138"/>
      <c r="HY45" s="138"/>
      <c r="HZ45" s="138"/>
      <c r="IA45" s="138"/>
      <c r="IB45" s="138"/>
      <c r="IC45" s="138"/>
      <c r="ID45" s="138"/>
      <c r="IE45" s="138"/>
      <c r="IF45" s="138"/>
      <c r="IG45" s="138"/>
      <c r="IH45" s="138"/>
      <c r="II45" s="138"/>
      <c r="IJ45" s="138"/>
      <c r="IK45" s="138"/>
      <c r="IL45" s="138"/>
      <c r="IM45" s="138"/>
      <c r="IN45" s="138"/>
      <c r="IO45" s="138"/>
      <c r="IP45" s="138"/>
      <c r="IQ45" s="138"/>
      <c r="IR45" s="138"/>
      <c r="IS45" s="138"/>
      <c r="IT45" s="138"/>
      <c r="IU45" s="138"/>
      <c r="IV45" s="138"/>
      <c r="IW45" s="138"/>
      <c r="IX45" s="138"/>
      <c r="IY45" s="138"/>
      <c r="IZ45" s="138"/>
      <c r="JA45" s="138"/>
      <c r="JB45" s="138"/>
      <c r="JC45" s="139"/>
    </row>
    <row r="46" spans="1:263" s="66" customFormat="1" ht="40.5" customHeight="1" x14ac:dyDescent="0.25">
      <c r="A46" s="157">
        <v>10.1</v>
      </c>
      <c r="B46" s="158" t="s">
        <v>167</v>
      </c>
      <c r="C46" s="178" t="s">
        <v>179</v>
      </c>
      <c r="D46" s="160" t="s">
        <v>153</v>
      </c>
      <c r="E46" s="161">
        <v>46090</v>
      </c>
      <c r="F46" s="162">
        <v>46098</v>
      </c>
      <c r="G46" s="163">
        <v>32</v>
      </c>
      <c r="H46" s="164">
        <v>1</v>
      </c>
      <c r="I46" s="140">
        <v>8</v>
      </c>
      <c r="J46" s="133"/>
      <c r="K46" s="134"/>
      <c r="L46" s="134"/>
      <c r="M46" s="134"/>
      <c r="N46" s="134"/>
      <c r="O46" s="134"/>
      <c r="P46" s="134"/>
      <c r="Q46" s="134"/>
      <c r="R46" s="134"/>
      <c r="S46" s="134"/>
      <c r="T46" s="134"/>
      <c r="U46" s="134"/>
      <c r="V46" s="134"/>
      <c r="W46" s="134"/>
      <c r="X46" s="134"/>
      <c r="Y46" s="134"/>
      <c r="Z46" s="134"/>
      <c r="AA46" s="134"/>
      <c r="AB46" s="134"/>
      <c r="AC46" s="134"/>
      <c r="AD46" s="134"/>
      <c r="AE46" s="134"/>
      <c r="AF46" s="134"/>
      <c r="AG46" s="134"/>
      <c r="AH46" s="134"/>
      <c r="AI46" s="134"/>
      <c r="AJ46" s="134"/>
      <c r="AK46" s="134"/>
      <c r="AL46" s="134"/>
      <c r="AM46" s="134"/>
      <c r="AN46" s="134"/>
      <c r="AO46" s="134"/>
      <c r="AP46" s="134"/>
      <c r="AQ46" s="134"/>
      <c r="AR46" s="134"/>
      <c r="AS46" s="134"/>
      <c r="AT46" s="134"/>
      <c r="AU46" s="134"/>
      <c r="AV46" s="134"/>
      <c r="AW46" s="134"/>
      <c r="AX46" s="134"/>
      <c r="AY46" s="134"/>
      <c r="AZ46" s="134"/>
      <c r="BA46" s="134"/>
      <c r="BB46" s="134"/>
      <c r="BC46" s="134"/>
      <c r="BD46" s="134"/>
      <c r="BE46" s="134"/>
      <c r="BF46" s="134"/>
      <c r="BG46" s="134"/>
      <c r="BH46" s="134"/>
      <c r="BI46" s="134"/>
      <c r="BJ46" s="134"/>
      <c r="BK46" s="134"/>
      <c r="BL46" s="134"/>
      <c r="BM46" s="134"/>
      <c r="BN46" s="134"/>
      <c r="BO46" s="134"/>
      <c r="BP46" s="134"/>
      <c r="BQ46" s="134"/>
      <c r="BR46" s="134"/>
      <c r="BS46" s="134"/>
      <c r="BT46" s="134"/>
      <c r="BU46" s="134"/>
      <c r="BV46" s="134"/>
      <c r="BW46" s="134"/>
      <c r="BX46" s="134"/>
      <c r="BY46" s="134"/>
      <c r="BZ46" s="134"/>
      <c r="CA46" s="134"/>
      <c r="CB46" s="134"/>
      <c r="CC46" s="134"/>
      <c r="CD46" s="134"/>
      <c r="CE46" s="134"/>
      <c r="CF46" s="134"/>
      <c r="CG46" s="134"/>
      <c r="CH46" s="134"/>
      <c r="CI46" s="134"/>
      <c r="CJ46" s="134"/>
      <c r="CK46" s="134"/>
      <c r="CL46" s="134"/>
      <c r="CM46" s="134"/>
      <c r="CN46" s="134"/>
      <c r="CO46" s="134"/>
      <c r="CP46" s="134"/>
      <c r="CQ46" s="134"/>
      <c r="CR46" s="134"/>
      <c r="CS46" s="134"/>
      <c r="CT46" s="134"/>
      <c r="CU46" s="134"/>
      <c r="CV46" s="134"/>
      <c r="CW46" s="134"/>
      <c r="CX46" s="134"/>
      <c r="CY46" s="134"/>
      <c r="CZ46" s="134"/>
      <c r="DA46" s="134"/>
      <c r="DB46" s="134"/>
      <c r="DC46" s="134"/>
      <c r="DD46" s="134"/>
      <c r="DE46" s="134"/>
      <c r="DF46" s="134"/>
      <c r="DG46" s="134"/>
      <c r="DH46" s="134"/>
      <c r="DI46" s="134"/>
      <c r="DJ46" s="134"/>
      <c r="DK46" s="134"/>
      <c r="DL46" s="134"/>
      <c r="DM46" s="134"/>
      <c r="DN46" s="134"/>
      <c r="DO46" s="134"/>
      <c r="DP46" s="134"/>
      <c r="DQ46" s="134"/>
      <c r="DR46" s="134"/>
      <c r="DS46" s="134"/>
      <c r="DT46" s="134"/>
      <c r="DU46" s="134"/>
      <c r="DV46" s="134"/>
      <c r="DW46" s="134"/>
      <c r="DX46" s="134"/>
      <c r="DY46" s="134"/>
      <c r="DZ46" s="134"/>
      <c r="EA46" s="134"/>
      <c r="EB46" s="134"/>
      <c r="EC46" s="134"/>
      <c r="ED46" s="134"/>
      <c r="EE46" s="134"/>
      <c r="EF46" s="134"/>
      <c r="EG46" s="134"/>
      <c r="EH46" s="134"/>
      <c r="EI46" s="134"/>
      <c r="EJ46" s="134"/>
      <c r="EK46" s="134"/>
      <c r="EL46" s="134"/>
      <c r="EM46" s="134"/>
      <c r="EN46" s="134"/>
      <c r="EO46" s="134"/>
      <c r="EP46" s="134"/>
      <c r="EQ46" s="134"/>
      <c r="ER46" s="134"/>
      <c r="ES46" s="134"/>
      <c r="ET46" s="134"/>
      <c r="EU46" s="134"/>
      <c r="EV46" s="134"/>
      <c r="EW46" s="134"/>
      <c r="EX46" s="134"/>
      <c r="EY46" s="134"/>
      <c r="EZ46" s="134"/>
      <c r="FA46" s="134"/>
      <c r="FB46" s="134"/>
      <c r="FC46" s="134"/>
      <c r="FD46" s="134"/>
      <c r="FE46" s="134"/>
      <c r="FF46" s="134"/>
      <c r="FG46" s="134"/>
      <c r="FH46" s="134"/>
      <c r="FI46" s="134"/>
      <c r="FJ46" s="134"/>
      <c r="FK46" s="134"/>
      <c r="FL46" s="134"/>
      <c r="FM46" s="134"/>
      <c r="FN46" s="134"/>
      <c r="FO46" s="134"/>
      <c r="FP46" s="134"/>
      <c r="FQ46" s="134"/>
      <c r="FR46" s="134"/>
      <c r="FS46" s="134"/>
      <c r="FT46" s="134"/>
      <c r="FU46" s="134"/>
      <c r="FV46" s="134"/>
      <c r="FW46" s="134"/>
      <c r="FX46" s="134"/>
      <c r="FY46" s="134"/>
      <c r="FZ46" s="134"/>
      <c r="GA46" s="134"/>
      <c r="GB46" s="134"/>
      <c r="GC46" s="134"/>
      <c r="GD46" s="134"/>
      <c r="GE46" s="134"/>
      <c r="GF46" s="134"/>
      <c r="GG46" s="134"/>
      <c r="GH46" s="134"/>
      <c r="GI46" s="134"/>
      <c r="GJ46" s="134"/>
      <c r="GK46" s="134"/>
      <c r="GL46" s="134"/>
      <c r="GM46" s="134"/>
      <c r="GN46" s="134"/>
      <c r="GO46" s="134"/>
      <c r="GP46" s="134"/>
      <c r="GQ46" s="134"/>
      <c r="GR46" s="134"/>
      <c r="GS46" s="134"/>
      <c r="GT46" s="134"/>
      <c r="GU46" s="134"/>
      <c r="GV46" s="134"/>
      <c r="GW46" s="134"/>
      <c r="GX46" s="134"/>
      <c r="GY46" s="134"/>
      <c r="GZ46" s="134"/>
      <c r="HA46" s="134"/>
      <c r="HB46" s="134"/>
      <c r="HC46" s="134"/>
      <c r="HD46" s="134"/>
      <c r="HE46" s="134"/>
      <c r="HF46" s="134"/>
      <c r="HG46" s="134"/>
      <c r="HH46" s="134"/>
      <c r="HI46" s="134"/>
      <c r="HJ46" s="134"/>
      <c r="HK46" s="134"/>
      <c r="HL46" s="134"/>
      <c r="HM46" s="134"/>
      <c r="HN46" s="134"/>
      <c r="HO46" s="134"/>
      <c r="HP46" s="134"/>
      <c r="HQ46" s="134"/>
      <c r="HR46" s="134"/>
      <c r="HS46" s="134"/>
      <c r="HT46" s="134"/>
      <c r="HU46" s="134"/>
      <c r="HV46" s="134"/>
      <c r="HW46" s="134"/>
      <c r="HX46" s="134"/>
      <c r="HY46" s="134"/>
      <c r="HZ46" s="134"/>
      <c r="IA46" s="134"/>
      <c r="IB46" s="134"/>
      <c r="IC46" s="134"/>
      <c r="ID46" s="134"/>
      <c r="IE46" s="134"/>
      <c r="IF46" s="134"/>
      <c r="IG46" s="134"/>
      <c r="IH46" s="134"/>
      <c r="II46" s="134"/>
      <c r="IJ46" s="134"/>
      <c r="IK46" s="134"/>
      <c r="IL46" s="134"/>
      <c r="IM46" s="134"/>
      <c r="IN46" s="134"/>
      <c r="IO46" s="134"/>
      <c r="IP46" s="134"/>
      <c r="IQ46" s="134"/>
      <c r="IR46" s="134"/>
      <c r="IS46" s="134"/>
      <c r="IT46" s="134"/>
      <c r="IU46" s="134"/>
      <c r="IV46" s="134"/>
      <c r="IW46" s="134"/>
      <c r="IX46" s="134"/>
      <c r="IY46" s="134"/>
      <c r="IZ46" s="134"/>
      <c r="JA46" s="134"/>
      <c r="JB46" s="134"/>
      <c r="JC46" s="135"/>
    </row>
    <row r="47" spans="1:263" s="66" customFormat="1" ht="41" customHeight="1" x14ac:dyDescent="0.25">
      <c r="A47" s="157">
        <v>10.199999999999999</v>
      </c>
      <c r="B47" s="158" t="s">
        <v>168</v>
      </c>
      <c r="C47" s="178" t="s">
        <v>175</v>
      </c>
      <c r="D47" s="160" t="s">
        <v>153</v>
      </c>
      <c r="E47" s="161">
        <v>46091</v>
      </c>
      <c r="F47" s="162">
        <v>46104</v>
      </c>
      <c r="G47" s="163">
        <v>32</v>
      </c>
      <c r="H47" s="164">
        <v>1</v>
      </c>
      <c r="I47" s="132">
        <v>13</v>
      </c>
      <c r="J47" s="133"/>
      <c r="K47" s="134"/>
      <c r="L47" s="134"/>
      <c r="M47" s="134"/>
      <c r="N47" s="134"/>
      <c r="O47" s="134"/>
      <c r="P47" s="134"/>
      <c r="Q47" s="134"/>
      <c r="R47" s="134"/>
      <c r="S47" s="134"/>
      <c r="T47" s="134"/>
      <c r="U47" s="134"/>
      <c r="V47" s="134"/>
      <c r="W47" s="134"/>
      <c r="X47" s="134"/>
      <c r="Y47" s="134"/>
      <c r="Z47" s="134"/>
      <c r="AA47" s="134"/>
      <c r="AB47" s="134"/>
      <c r="AC47" s="134"/>
      <c r="AD47" s="134"/>
      <c r="AE47" s="134"/>
      <c r="AF47" s="134"/>
      <c r="AG47" s="134"/>
      <c r="AH47" s="134"/>
      <c r="AI47" s="134"/>
      <c r="AJ47" s="134"/>
      <c r="AK47" s="134"/>
      <c r="AL47" s="134"/>
      <c r="AM47" s="134"/>
      <c r="AN47" s="134"/>
      <c r="AO47" s="134"/>
      <c r="AP47" s="134"/>
      <c r="AQ47" s="134"/>
      <c r="AR47" s="134"/>
      <c r="AS47" s="134"/>
      <c r="AT47" s="134"/>
      <c r="AU47" s="134"/>
      <c r="AV47" s="134"/>
      <c r="AW47" s="134"/>
      <c r="AX47" s="134"/>
      <c r="AY47" s="134"/>
      <c r="AZ47" s="134"/>
      <c r="BA47" s="134"/>
      <c r="BB47" s="134"/>
      <c r="BC47" s="134"/>
      <c r="BD47" s="134"/>
      <c r="BE47" s="134"/>
      <c r="BF47" s="134"/>
      <c r="BG47" s="134"/>
      <c r="BH47" s="134"/>
      <c r="BI47" s="134"/>
      <c r="BJ47" s="134"/>
      <c r="BK47" s="134"/>
      <c r="BL47" s="134"/>
      <c r="BM47" s="134"/>
      <c r="BN47" s="134"/>
      <c r="BO47" s="134"/>
      <c r="BP47" s="134"/>
      <c r="BQ47" s="134"/>
      <c r="BR47" s="134"/>
      <c r="BS47" s="134"/>
      <c r="BT47" s="134"/>
      <c r="BU47" s="134"/>
      <c r="BV47" s="134"/>
      <c r="BW47" s="134"/>
      <c r="BX47" s="134"/>
      <c r="BY47" s="134"/>
      <c r="BZ47" s="134"/>
      <c r="CA47" s="134"/>
      <c r="CB47" s="134"/>
      <c r="CC47" s="134"/>
      <c r="CD47" s="134"/>
      <c r="CE47" s="134"/>
      <c r="CF47" s="134"/>
      <c r="CG47" s="134"/>
      <c r="CH47" s="134"/>
      <c r="CI47" s="134"/>
      <c r="CJ47" s="134"/>
      <c r="CK47" s="134"/>
      <c r="CL47" s="134"/>
      <c r="CM47" s="134"/>
      <c r="CN47" s="134"/>
      <c r="CO47" s="134"/>
      <c r="CP47" s="134"/>
      <c r="CQ47" s="134"/>
      <c r="CR47" s="134"/>
      <c r="CS47" s="134"/>
      <c r="CT47" s="134"/>
      <c r="CU47" s="134"/>
      <c r="CV47" s="134"/>
      <c r="CW47" s="134"/>
      <c r="CX47" s="134"/>
      <c r="CY47" s="134"/>
      <c r="CZ47" s="134"/>
      <c r="DA47" s="134"/>
      <c r="DB47" s="134"/>
      <c r="DC47" s="134"/>
      <c r="DD47" s="134"/>
      <c r="DE47" s="134"/>
      <c r="DF47" s="134"/>
      <c r="DG47" s="134"/>
      <c r="DH47" s="134"/>
      <c r="DI47" s="134"/>
      <c r="DJ47" s="134"/>
      <c r="DK47" s="134"/>
      <c r="DL47" s="134"/>
      <c r="DM47" s="134"/>
      <c r="DN47" s="134"/>
      <c r="DO47" s="134"/>
      <c r="DP47" s="134"/>
      <c r="DQ47" s="134"/>
      <c r="DR47" s="134"/>
      <c r="DS47" s="134"/>
      <c r="DT47" s="134"/>
      <c r="DU47" s="134"/>
      <c r="DV47" s="134"/>
      <c r="DW47" s="134"/>
      <c r="DX47" s="134"/>
      <c r="DY47" s="134"/>
      <c r="DZ47" s="134"/>
      <c r="EA47" s="134"/>
      <c r="EB47" s="134"/>
      <c r="EC47" s="134"/>
      <c r="ED47" s="134"/>
      <c r="EE47" s="134"/>
      <c r="EF47" s="134"/>
      <c r="EG47" s="134"/>
      <c r="EH47" s="134"/>
      <c r="EI47" s="134"/>
      <c r="EJ47" s="134"/>
      <c r="EK47" s="134"/>
      <c r="EL47" s="134"/>
      <c r="EM47" s="134"/>
      <c r="EN47" s="134"/>
      <c r="EO47" s="134"/>
      <c r="EP47" s="134"/>
      <c r="EQ47" s="134"/>
      <c r="ER47" s="134"/>
      <c r="ES47" s="134"/>
      <c r="ET47" s="134"/>
      <c r="EU47" s="134"/>
      <c r="EV47" s="134"/>
      <c r="EW47" s="134"/>
      <c r="EX47" s="134"/>
      <c r="EY47" s="134"/>
      <c r="EZ47" s="134"/>
      <c r="FA47" s="134"/>
      <c r="FB47" s="134"/>
      <c r="FC47" s="134"/>
      <c r="FD47" s="134"/>
      <c r="FE47" s="134"/>
      <c r="FF47" s="134"/>
      <c r="FG47" s="134"/>
      <c r="FH47" s="134"/>
      <c r="FI47" s="134"/>
      <c r="FJ47" s="134"/>
      <c r="FK47" s="134"/>
      <c r="FL47" s="134"/>
      <c r="FM47" s="134"/>
      <c r="FN47" s="134"/>
      <c r="FO47" s="134"/>
      <c r="FP47" s="134"/>
      <c r="FQ47" s="134"/>
      <c r="FR47" s="134"/>
      <c r="FS47" s="134"/>
      <c r="FT47" s="134"/>
      <c r="FU47" s="134"/>
      <c r="FV47" s="134"/>
      <c r="FW47" s="134"/>
      <c r="FX47" s="134"/>
      <c r="FY47" s="134"/>
      <c r="FZ47" s="134"/>
      <c r="GA47" s="134"/>
      <c r="GB47" s="134"/>
      <c r="GC47" s="134"/>
      <c r="GD47" s="134"/>
      <c r="GE47" s="134"/>
      <c r="GF47" s="134"/>
      <c r="GG47" s="134"/>
      <c r="GH47" s="134"/>
      <c r="GI47" s="134"/>
      <c r="GJ47" s="134"/>
      <c r="GK47" s="134"/>
      <c r="GL47" s="134"/>
      <c r="GM47" s="134"/>
      <c r="GN47" s="134"/>
      <c r="GO47" s="134"/>
      <c r="GP47" s="134"/>
      <c r="GQ47" s="134"/>
      <c r="GR47" s="134"/>
      <c r="GS47" s="134"/>
      <c r="GT47" s="134"/>
      <c r="GU47" s="134"/>
      <c r="GV47" s="134"/>
      <c r="GW47" s="134"/>
      <c r="GX47" s="134"/>
      <c r="GY47" s="134"/>
      <c r="GZ47" s="134"/>
      <c r="HA47" s="134"/>
      <c r="HB47" s="134"/>
      <c r="HC47" s="134"/>
      <c r="HD47" s="134"/>
      <c r="HE47" s="134"/>
      <c r="HF47" s="134"/>
      <c r="HG47" s="134"/>
      <c r="HH47" s="134"/>
      <c r="HI47" s="134"/>
      <c r="HJ47" s="134"/>
      <c r="HK47" s="134"/>
      <c r="HL47" s="134"/>
      <c r="HM47" s="134"/>
      <c r="HN47" s="134"/>
      <c r="HO47" s="134"/>
      <c r="HP47" s="134"/>
      <c r="HQ47" s="134"/>
      <c r="HR47" s="134"/>
      <c r="HS47" s="134"/>
      <c r="HT47" s="134"/>
      <c r="HU47" s="134"/>
      <c r="HV47" s="134"/>
      <c r="HW47" s="134"/>
      <c r="HX47" s="134"/>
      <c r="HY47" s="134"/>
      <c r="HZ47" s="134"/>
      <c r="IA47" s="134"/>
      <c r="IB47" s="134"/>
      <c r="IC47" s="134"/>
      <c r="ID47" s="134"/>
      <c r="IE47" s="134"/>
      <c r="IF47" s="134"/>
      <c r="IG47" s="134"/>
      <c r="IH47" s="134"/>
      <c r="II47" s="134"/>
      <c r="IJ47" s="134"/>
      <c r="IK47" s="134"/>
      <c r="IL47" s="134"/>
      <c r="IM47" s="134"/>
      <c r="IN47" s="134"/>
      <c r="IO47" s="134"/>
      <c r="IP47" s="134"/>
      <c r="IQ47" s="134"/>
      <c r="IR47" s="134"/>
      <c r="IS47" s="134"/>
      <c r="IT47" s="134"/>
      <c r="IU47" s="134"/>
      <c r="IV47" s="134"/>
      <c r="IW47" s="134"/>
      <c r="IX47" s="134"/>
      <c r="IY47" s="134"/>
      <c r="IZ47" s="134"/>
      <c r="JA47" s="134"/>
      <c r="JB47" s="134"/>
      <c r="JC47" s="135"/>
    </row>
    <row r="48" spans="1:263" s="66" customFormat="1" ht="40.5" customHeight="1" x14ac:dyDescent="0.25">
      <c r="A48" s="157">
        <v>10.3</v>
      </c>
      <c r="B48" s="158" t="s">
        <v>169</v>
      </c>
      <c r="C48" s="178" t="s">
        <v>175</v>
      </c>
      <c r="D48" s="160" t="s">
        <v>153</v>
      </c>
      <c r="E48" s="161">
        <v>46101</v>
      </c>
      <c r="F48" s="162">
        <v>46113</v>
      </c>
      <c r="G48" s="163">
        <v>32</v>
      </c>
      <c r="H48" s="164">
        <v>1</v>
      </c>
      <c r="I48" s="132">
        <v>12</v>
      </c>
      <c r="J48" s="133"/>
      <c r="K48" s="134"/>
      <c r="L48" s="134"/>
      <c r="M48" s="134"/>
      <c r="N48" s="134"/>
      <c r="O48" s="134"/>
      <c r="P48" s="134"/>
      <c r="Q48" s="134"/>
      <c r="R48" s="134"/>
      <c r="S48" s="134"/>
      <c r="T48" s="134"/>
      <c r="U48" s="134"/>
      <c r="V48" s="134"/>
      <c r="W48" s="134"/>
      <c r="X48" s="134"/>
      <c r="Y48" s="134"/>
      <c r="Z48" s="134"/>
      <c r="AA48" s="134"/>
      <c r="AB48" s="134"/>
      <c r="AC48" s="134"/>
      <c r="AD48" s="134"/>
      <c r="AE48" s="134"/>
      <c r="AF48" s="134"/>
      <c r="AG48" s="134"/>
      <c r="AH48" s="134"/>
      <c r="AI48" s="134"/>
      <c r="AJ48" s="134"/>
      <c r="AK48" s="134"/>
      <c r="AL48" s="134"/>
      <c r="AM48" s="134"/>
      <c r="AN48" s="134"/>
      <c r="AO48" s="134"/>
      <c r="AP48" s="134"/>
      <c r="AQ48" s="134"/>
      <c r="AR48" s="134"/>
      <c r="AS48" s="134"/>
      <c r="AT48" s="134"/>
      <c r="AU48" s="134"/>
      <c r="AV48" s="134"/>
      <c r="AW48" s="134"/>
      <c r="AX48" s="134"/>
      <c r="AY48" s="134"/>
      <c r="AZ48" s="134"/>
      <c r="BA48" s="134"/>
      <c r="BB48" s="134"/>
      <c r="BC48" s="134"/>
      <c r="BD48" s="134"/>
      <c r="BE48" s="134"/>
      <c r="BF48" s="134"/>
      <c r="BG48" s="134"/>
      <c r="BH48" s="134"/>
      <c r="BI48" s="134"/>
      <c r="BJ48" s="134"/>
      <c r="BK48" s="134"/>
      <c r="BL48" s="134"/>
      <c r="BM48" s="134"/>
      <c r="BN48" s="134"/>
      <c r="BO48" s="134"/>
      <c r="BP48" s="134"/>
      <c r="BQ48" s="134"/>
      <c r="BR48" s="134"/>
      <c r="BS48" s="134"/>
      <c r="BT48" s="134"/>
      <c r="BU48" s="134"/>
      <c r="BV48" s="134"/>
      <c r="BW48" s="134"/>
      <c r="BX48" s="134"/>
      <c r="BY48" s="134"/>
      <c r="BZ48" s="134"/>
      <c r="CA48" s="134"/>
      <c r="CB48" s="134"/>
      <c r="CC48" s="134"/>
      <c r="CD48" s="134"/>
      <c r="CE48" s="134"/>
      <c r="CF48" s="134"/>
      <c r="CG48" s="134"/>
      <c r="CH48" s="134"/>
      <c r="CI48" s="134"/>
      <c r="CJ48" s="134"/>
      <c r="CK48" s="134"/>
      <c r="CL48" s="134"/>
      <c r="CM48" s="134"/>
      <c r="CN48" s="134"/>
      <c r="CO48" s="134"/>
      <c r="CP48" s="134"/>
      <c r="CQ48" s="134"/>
      <c r="CR48" s="134"/>
      <c r="CS48" s="134"/>
      <c r="CT48" s="134"/>
      <c r="CU48" s="134"/>
      <c r="CV48" s="134"/>
      <c r="CW48" s="134"/>
      <c r="CX48" s="134"/>
      <c r="CY48" s="134"/>
      <c r="CZ48" s="134"/>
      <c r="DA48" s="134"/>
      <c r="DB48" s="134"/>
      <c r="DC48" s="134"/>
      <c r="DD48" s="134"/>
      <c r="DE48" s="134"/>
      <c r="DF48" s="134"/>
      <c r="DG48" s="134"/>
      <c r="DH48" s="134"/>
      <c r="DI48" s="134"/>
      <c r="DJ48" s="134"/>
      <c r="DK48" s="134"/>
      <c r="DL48" s="134"/>
      <c r="DM48" s="134"/>
      <c r="DN48" s="134"/>
      <c r="DO48" s="134"/>
      <c r="DP48" s="134"/>
      <c r="DQ48" s="134"/>
      <c r="DR48" s="134"/>
      <c r="DS48" s="134"/>
      <c r="DT48" s="134"/>
      <c r="DU48" s="134"/>
      <c r="DV48" s="134"/>
      <c r="DW48" s="134"/>
      <c r="DX48" s="134"/>
      <c r="DY48" s="134"/>
      <c r="DZ48" s="134"/>
      <c r="EA48" s="134"/>
      <c r="EB48" s="134"/>
      <c r="EC48" s="134"/>
      <c r="ED48" s="134"/>
      <c r="EE48" s="134"/>
      <c r="EF48" s="134"/>
      <c r="EG48" s="134"/>
      <c r="EH48" s="134"/>
      <c r="EI48" s="134"/>
      <c r="EJ48" s="134"/>
      <c r="EK48" s="134"/>
      <c r="EL48" s="134"/>
      <c r="EM48" s="134"/>
      <c r="EN48" s="134"/>
      <c r="EO48" s="134"/>
      <c r="EP48" s="134"/>
      <c r="EQ48" s="134"/>
      <c r="ER48" s="134"/>
      <c r="ES48" s="134"/>
      <c r="ET48" s="134"/>
      <c r="EU48" s="134"/>
      <c r="EV48" s="134"/>
      <c r="EW48" s="134"/>
      <c r="EX48" s="134"/>
      <c r="EY48" s="134"/>
      <c r="EZ48" s="134"/>
      <c r="FA48" s="134"/>
      <c r="FB48" s="134"/>
      <c r="FC48" s="134"/>
      <c r="FD48" s="134"/>
      <c r="FE48" s="134"/>
      <c r="FF48" s="134"/>
      <c r="FG48" s="134"/>
      <c r="FH48" s="134"/>
      <c r="FI48" s="134"/>
      <c r="FJ48" s="134"/>
      <c r="FK48" s="134"/>
      <c r="FL48" s="134"/>
      <c r="FM48" s="134"/>
      <c r="FN48" s="134"/>
      <c r="FO48" s="134"/>
      <c r="FP48" s="134"/>
      <c r="FQ48" s="134"/>
      <c r="FR48" s="134"/>
      <c r="FS48" s="134"/>
      <c r="FT48" s="134"/>
      <c r="FU48" s="134"/>
      <c r="FV48" s="134"/>
      <c r="FW48" s="134"/>
      <c r="FX48" s="134"/>
      <c r="FY48" s="134"/>
      <c r="FZ48" s="134"/>
      <c r="GA48" s="134"/>
      <c r="GB48" s="134"/>
      <c r="GC48" s="134"/>
      <c r="GD48" s="134"/>
      <c r="GE48" s="134"/>
      <c r="GF48" s="134"/>
      <c r="GG48" s="134"/>
      <c r="GH48" s="134"/>
      <c r="GI48" s="134"/>
      <c r="GJ48" s="134"/>
      <c r="GK48" s="134"/>
      <c r="GL48" s="134"/>
      <c r="GM48" s="134"/>
      <c r="GN48" s="134"/>
      <c r="GO48" s="134"/>
      <c r="GP48" s="134"/>
      <c r="GQ48" s="134"/>
      <c r="GR48" s="134"/>
      <c r="GS48" s="134"/>
      <c r="GT48" s="134"/>
      <c r="GU48" s="134"/>
      <c r="GV48" s="134"/>
      <c r="GW48" s="134"/>
      <c r="GX48" s="134"/>
      <c r="GY48" s="134"/>
      <c r="GZ48" s="134"/>
      <c r="HA48" s="134"/>
      <c r="HB48" s="134"/>
      <c r="HC48" s="134"/>
      <c r="HD48" s="134"/>
      <c r="HE48" s="134"/>
      <c r="HF48" s="134"/>
      <c r="HG48" s="134"/>
      <c r="HH48" s="134"/>
      <c r="HI48" s="134"/>
      <c r="HJ48" s="134"/>
      <c r="HK48" s="134"/>
      <c r="HL48" s="134"/>
      <c r="HM48" s="134"/>
      <c r="HN48" s="134"/>
      <c r="HO48" s="134"/>
      <c r="HP48" s="134"/>
      <c r="HQ48" s="134"/>
      <c r="HR48" s="134"/>
      <c r="HS48" s="134"/>
      <c r="HT48" s="134"/>
      <c r="HU48" s="134"/>
      <c r="HV48" s="134"/>
      <c r="HW48" s="134"/>
      <c r="HX48" s="134"/>
      <c r="HY48" s="134"/>
      <c r="HZ48" s="134"/>
      <c r="IA48" s="134"/>
      <c r="IB48" s="134"/>
      <c r="IC48" s="134"/>
      <c r="ID48" s="134"/>
      <c r="IE48" s="134"/>
      <c r="IF48" s="134"/>
      <c r="IG48" s="134"/>
      <c r="IH48" s="134"/>
      <c r="II48" s="134"/>
      <c r="IJ48" s="134"/>
      <c r="IK48" s="134"/>
      <c r="IL48" s="134"/>
      <c r="IM48" s="134"/>
      <c r="IN48" s="134"/>
      <c r="IO48" s="134"/>
      <c r="IP48" s="134"/>
      <c r="IQ48" s="134"/>
      <c r="IR48" s="134"/>
      <c r="IS48" s="134"/>
      <c r="IT48" s="134"/>
      <c r="IU48" s="134"/>
      <c r="IV48" s="134"/>
      <c r="IW48" s="134"/>
      <c r="IX48" s="134"/>
      <c r="IY48" s="134"/>
      <c r="IZ48" s="134"/>
      <c r="JA48" s="134"/>
      <c r="JB48" s="134"/>
      <c r="JC48" s="135"/>
    </row>
    <row r="49" spans="1:267" s="66" customFormat="1" ht="40" customHeight="1" x14ac:dyDescent="0.25">
      <c r="A49" s="157">
        <v>10.4</v>
      </c>
      <c r="B49" s="158" t="s">
        <v>170</v>
      </c>
      <c r="C49" s="178" t="s">
        <v>175</v>
      </c>
      <c r="D49" s="160" t="s">
        <v>153</v>
      </c>
      <c r="E49" s="161">
        <v>46091</v>
      </c>
      <c r="F49" s="162">
        <v>46113</v>
      </c>
      <c r="G49" s="163">
        <v>32</v>
      </c>
      <c r="H49" s="164">
        <v>1</v>
      </c>
      <c r="I49" s="132">
        <v>22</v>
      </c>
      <c r="J49" s="133"/>
      <c r="K49" s="134"/>
      <c r="L49" s="134"/>
      <c r="M49" s="134"/>
      <c r="N49" s="134"/>
      <c r="O49" s="134"/>
      <c r="P49" s="134"/>
      <c r="Q49" s="134"/>
      <c r="R49" s="134"/>
      <c r="S49" s="134"/>
      <c r="T49" s="134"/>
      <c r="U49" s="134"/>
      <c r="V49" s="134"/>
      <c r="W49" s="134"/>
      <c r="X49" s="134"/>
      <c r="Y49" s="134"/>
      <c r="Z49" s="134"/>
      <c r="AA49" s="134"/>
      <c r="AB49" s="134"/>
      <c r="AC49" s="134"/>
      <c r="AD49" s="134"/>
      <c r="AE49" s="134"/>
      <c r="AF49" s="134"/>
      <c r="AG49" s="134"/>
      <c r="AH49" s="134"/>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134"/>
      <c r="BG49" s="134"/>
      <c r="BH49" s="134"/>
      <c r="BI49" s="134"/>
      <c r="BJ49" s="134"/>
      <c r="BK49" s="134"/>
      <c r="BL49" s="134"/>
      <c r="BM49" s="134"/>
      <c r="BN49" s="134"/>
      <c r="BO49" s="134"/>
      <c r="BP49" s="134"/>
      <c r="BQ49" s="134"/>
      <c r="BR49" s="134"/>
      <c r="BS49" s="134"/>
      <c r="BT49" s="134"/>
      <c r="BU49" s="134"/>
      <c r="BV49" s="134"/>
      <c r="BW49" s="134"/>
      <c r="BX49" s="134"/>
      <c r="BY49" s="134"/>
      <c r="BZ49" s="134"/>
      <c r="CA49" s="134"/>
      <c r="CB49" s="134"/>
      <c r="CC49" s="134"/>
      <c r="CD49" s="134"/>
      <c r="CE49" s="134"/>
      <c r="CF49" s="134"/>
      <c r="CG49" s="134"/>
      <c r="CH49" s="134"/>
      <c r="CI49" s="134"/>
      <c r="CJ49" s="134"/>
      <c r="CK49" s="134"/>
      <c r="CL49" s="134"/>
      <c r="CM49" s="134"/>
      <c r="CN49" s="134"/>
      <c r="CO49" s="134"/>
      <c r="CP49" s="134"/>
      <c r="CQ49" s="134"/>
      <c r="CR49" s="134"/>
      <c r="CS49" s="134"/>
      <c r="CT49" s="134"/>
      <c r="CU49" s="134"/>
      <c r="CV49" s="134"/>
      <c r="CW49" s="134"/>
      <c r="CX49" s="134"/>
      <c r="CY49" s="134"/>
      <c r="CZ49" s="134"/>
      <c r="DA49" s="134"/>
      <c r="DB49" s="134"/>
      <c r="DC49" s="134"/>
      <c r="DD49" s="134"/>
      <c r="DE49" s="134"/>
      <c r="DF49" s="134"/>
      <c r="DG49" s="134"/>
      <c r="DH49" s="134"/>
      <c r="DI49" s="134"/>
      <c r="DJ49" s="134"/>
      <c r="DK49" s="134"/>
      <c r="DL49" s="134"/>
      <c r="DM49" s="134"/>
      <c r="DN49" s="134"/>
      <c r="DO49" s="134"/>
      <c r="DP49" s="134"/>
      <c r="DQ49" s="134"/>
      <c r="DR49" s="134"/>
      <c r="DS49" s="134"/>
      <c r="DT49" s="134"/>
      <c r="DU49" s="134"/>
      <c r="DV49" s="134"/>
      <c r="DW49" s="134"/>
      <c r="DX49" s="134"/>
      <c r="DY49" s="134"/>
      <c r="DZ49" s="134"/>
      <c r="EA49" s="134"/>
      <c r="EB49" s="134"/>
      <c r="EC49" s="134"/>
      <c r="ED49" s="134"/>
      <c r="EE49" s="134"/>
      <c r="EF49" s="134"/>
      <c r="EG49" s="134"/>
      <c r="EH49" s="134"/>
      <c r="EI49" s="134"/>
      <c r="EJ49" s="134"/>
      <c r="EK49" s="134"/>
      <c r="EL49" s="134"/>
      <c r="EM49" s="134"/>
      <c r="EN49" s="134"/>
      <c r="EO49" s="134"/>
      <c r="EP49" s="134"/>
      <c r="EQ49" s="134"/>
      <c r="ER49" s="134"/>
      <c r="ES49" s="134"/>
      <c r="ET49" s="134"/>
      <c r="EU49" s="134"/>
      <c r="EV49" s="134"/>
      <c r="EW49" s="134"/>
      <c r="EX49" s="134"/>
      <c r="EY49" s="134"/>
      <c r="EZ49" s="134"/>
      <c r="FA49" s="134"/>
      <c r="FB49" s="134"/>
      <c r="FC49" s="134"/>
      <c r="FD49" s="134"/>
      <c r="FE49" s="134"/>
      <c r="FF49" s="134"/>
      <c r="FG49" s="134"/>
      <c r="FH49" s="134"/>
      <c r="FI49" s="134"/>
      <c r="FJ49" s="134"/>
      <c r="FK49" s="134"/>
      <c r="FL49" s="134"/>
      <c r="FM49" s="134"/>
      <c r="FN49" s="134"/>
      <c r="FO49" s="134"/>
      <c r="FP49" s="134"/>
      <c r="FQ49" s="134"/>
      <c r="FR49" s="134"/>
      <c r="FS49" s="134"/>
      <c r="FT49" s="134"/>
      <c r="FU49" s="134"/>
      <c r="FV49" s="134"/>
      <c r="FW49" s="134"/>
      <c r="FX49" s="134"/>
      <c r="FY49" s="134"/>
      <c r="FZ49" s="134"/>
      <c r="GA49" s="134"/>
      <c r="GB49" s="134"/>
      <c r="GC49" s="134"/>
      <c r="GD49" s="134"/>
      <c r="GE49" s="134"/>
      <c r="GF49" s="134"/>
      <c r="GG49" s="134"/>
      <c r="GH49" s="134"/>
      <c r="GI49" s="134"/>
      <c r="GJ49" s="134"/>
      <c r="GK49" s="134"/>
      <c r="GL49" s="134"/>
      <c r="GM49" s="134"/>
      <c r="GN49" s="134"/>
      <c r="GO49" s="134"/>
      <c r="GP49" s="134"/>
      <c r="GQ49" s="134"/>
      <c r="GR49" s="134"/>
      <c r="GS49" s="134"/>
      <c r="GT49" s="134"/>
      <c r="GU49" s="134"/>
      <c r="GV49" s="134"/>
      <c r="GW49" s="134"/>
      <c r="GX49" s="134"/>
      <c r="GY49" s="134"/>
      <c r="GZ49" s="134"/>
      <c r="HA49" s="134"/>
      <c r="HB49" s="134"/>
      <c r="HC49" s="134"/>
      <c r="HD49" s="134"/>
      <c r="HE49" s="134"/>
      <c r="HF49" s="134"/>
      <c r="HG49" s="134"/>
      <c r="HH49" s="134"/>
      <c r="HI49" s="134"/>
      <c r="HJ49" s="134"/>
      <c r="HK49" s="134"/>
      <c r="HL49" s="134"/>
      <c r="HM49" s="134"/>
      <c r="HN49" s="134"/>
      <c r="HO49" s="134"/>
      <c r="HP49" s="134"/>
      <c r="HQ49" s="134"/>
      <c r="HR49" s="134"/>
      <c r="HS49" s="134"/>
      <c r="HT49" s="134"/>
      <c r="HU49" s="134"/>
      <c r="HV49" s="134"/>
      <c r="HW49" s="134"/>
      <c r="HX49" s="134"/>
      <c r="HY49" s="134"/>
      <c r="HZ49" s="134"/>
      <c r="IA49" s="134"/>
      <c r="IB49" s="134"/>
      <c r="IC49" s="134"/>
      <c r="ID49" s="134"/>
      <c r="IE49" s="134"/>
      <c r="IF49" s="134"/>
      <c r="IG49" s="134"/>
      <c r="IH49" s="134"/>
      <c r="II49" s="134"/>
      <c r="IJ49" s="134"/>
      <c r="IK49" s="134"/>
      <c r="IL49" s="134"/>
      <c r="IM49" s="134"/>
      <c r="IN49" s="134"/>
      <c r="IO49" s="134"/>
      <c r="IP49" s="134"/>
      <c r="IQ49" s="134"/>
      <c r="IR49" s="134"/>
      <c r="IS49" s="134"/>
      <c r="IT49" s="134"/>
      <c r="IU49" s="134"/>
      <c r="IV49" s="134"/>
      <c r="IW49" s="134"/>
      <c r="IX49" s="134"/>
      <c r="IY49" s="134"/>
      <c r="IZ49" s="134"/>
      <c r="JA49" s="134"/>
      <c r="JB49" s="134"/>
      <c r="JC49" s="135"/>
    </row>
    <row r="50" spans="1:267" s="66" customFormat="1" ht="40" customHeight="1" x14ac:dyDescent="0.25">
      <c r="A50" s="157">
        <v>10.5</v>
      </c>
      <c r="B50" s="158" t="s">
        <v>171</v>
      </c>
      <c r="C50" s="178" t="s">
        <v>175</v>
      </c>
      <c r="D50" s="160" t="s">
        <v>153</v>
      </c>
      <c r="E50" s="161">
        <v>46117</v>
      </c>
      <c r="F50" s="162">
        <v>46138</v>
      </c>
      <c r="G50" s="163">
        <v>32</v>
      </c>
      <c r="H50" s="164">
        <v>1</v>
      </c>
      <c r="I50" s="132">
        <v>21</v>
      </c>
      <c r="J50" s="133"/>
      <c r="K50" s="134"/>
      <c r="L50" s="134"/>
      <c r="M50" s="134"/>
      <c r="N50" s="134"/>
      <c r="O50" s="134"/>
      <c r="P50" s="134"/>
      <c r="Q50" s="134"/>
      <c r="R50" s="134"/>
      <c r="S50" s="134"/>
      <c r="T50" s="134"/>
      <c r="U50" s="134"/>
      <c r="V50" s="134"/>
      <c r="W50" s="134"/>
      <c r="X50" s="134"/>
      <c r="Y50" s="134"/>
      <c r="Z50" s="134"/>
      <c r="AA50" s="134"/>
      <c r="AB50" s="134"/>
      <c r="AC50" s="134"/>
      <c r="AD50" s="134"/>
      <c r="AE50" s="134"/>
      <c r="AF50" s="134"/>
      <c r="AG50" s="134"/>
      <c r="AH50" s="134"/>
      <c r="AI50" s="134"/>
      <c r="AJ50" s="134"/>
      <c r="AK50" s="134"/>
      <c r="AL50" s="134"/>
      <c r="AM50" s="134"/>
      <c r="AN50" s="134"/>
      <c r="AO50" s="134"/>
      <c r="AP50" s="134"/>
      <c r="AQ50" s="134"/>
      <c r="AR50" s="134"/>
      <c r="AS50" s="134"/>
      <c r="AT50" s="134"/>
      <c r="AU50" s="134"/>
      <c r="AV50" s="134"/>
      <c r="AW50" s="134"/>
      <c r="AX50" s="134"/>
      <c r="AY50" s="134"/>
      <c r="AZ50" s="134"/>
      <c r="BA50" s="134"/>
      <c r="BB50" s="134"/>
      <c r="BC50" s="134"/>
      <c r="BD50" s="134"/>
      <c r="BE50" s="134"/>
      <c r="BF50" s="134"/>
      <c r="BG50" s="134"/>
      <c r="BH50" s="134"/>
      <c r="BI50" s="134"/>
      <c r="BJ50" s="134"/>
      <c r="BK50" s="134"/>
      <c r="BL50" s="134"/>
      <c r="BM50" s="134"/>
      <c r="BN50" s="134"/>
      <c r="BO50" s="134"/>
      <c r="BP50" s="134"/>
      <c r="BQ50" s="134"/>
      <c r="BR50" s="134"/>
      <c r="BS50" s="134"/>
      <c r="BT50" s="134"/>
      <c r="BU50" s="134"/>
      <c r="BV50" s="134"/>
      <c r="BW50" s="134"/>
      <c r="BX50" s="134"/>
      <c r="BY50" s="134"/>
      <c r="BZ50" s="134"/>
      <c r="CA50" s="134"/>
      <c r="CB50" s="134"/>
      <c r="CC50" s="134"/>
      <c r="CD50" s="134"/>
      <c r="CE50" s="134"/>
      <c r="CF50" s="134"/>
      <c r="CG50" s="134"/>
      <c r="CH50" s="134"/>
      <c r="CI50" s="134"/>
      <c r="CJ50" s="134"/>
      <c r="CK50" s="134"/>
      <c r="CL50" s="134"/>
      <c r="CM50" s="134"/>
      <c r="CN50" s="134"/>
      <c r="CO50" s="134"/>
      <c r="CP50" s="134"/>
      <c r="CQ50" s="134"/>
      <c r="CR50" s="134"/>
      <c r="CS50" s="134"/>
      <c r="CT50" s="134"/>
      <c r="CU50" s="134"/>
      <c r="CV50" s="134"/>
      <c r="CW50" s="134"/>
      <c r="CX50" s="134"/>
      <c r="CY50" s="134"/>
      <c r="CZ50" s="134"/>
      <c r="DA50" s="134"/>
      <c r="DB50" s="134"/>
      <c r="DC50" s="134"/>
      <c r="DD50" s="134"/>
      <c r="DE50" s="134"/>
      <c r="DF50" s="134"/>
      <c r="DG50" s="134"/>
      <c r="DH50" s="134"/>
      <c r="DI50" s="134"/>
      <c r="DJ50" s="134"/>
      <c r="DK50" s="134"/>
      <c r="DL50" s="134"/>
      <c r="DM50" s="134"/>
      <c r="DN50" s="134"/>
      <c r="DO50" s="134"/>
      <c r="DP50" s="134"/>
      <c r="DQ50" s="134"/>
      <c r="DR50" s="134"/>
      <c r="DS50" s="134"/>
      <c r="DT50" s="134"/>
      <c r="DU50" s="134"/>
      <c r="DV50" s="134"/>
      <c r="DW50" s="134"/>
      <c r="DX50" s="134"/>
      <c r="DY50" s="134"/>
      <c r="DZ50" s="134"/>
      <c r="EA50" s="134"/>
      <c r="EB50" s="134"/>
      <c r="EC50" s="134"/>
      <c r="ED50" s="134"/>
      <c r="EE50" s="134"/>
      <c r="EF50" s="134"/>
      <c r="EG50" s="134"/>
      <c r="EH50" s="134"/>
      <c r="EI50" s="134"/>
      <c r="EJ50" s="134"/>
      <c r="EK50" s="134"/>
      <c r="EL50" s="134"/>
      <c r="EM50" s="134"/>
      <c r="EN50" s="134"/>
      <c r="EO50" s="134"/>
      <c r="EP50" s="134"/>
      <c r="EQ50" s="134"/>
      <c r="ER50" s="134"/>
      <c r="ES50" s="134"/>
      <c r="ET50" s="134"/>
      <c r="EU50" s="134"/>
      <c r="EV50" s="134"/>
      <c r="EW50" s="134"/>
      <c r="EX50" s="134"/>
      <c r="EY50" s="134"/>
      <c r="EZ50" s="134"/>
      <c r="FA50" s="134"/>
      <c r="FB50" s="134"/>
      <c r="FC50" s="134"/>
      <c r="FD50" s="134"/>
      <c r="FE50" s="134"/>
      <c r="FF50" s="134"/>
      <c r="FG50" s="134"/>
      <c r="FH50" s="134"/>
      <c r="FI50" s="134"/>
      <c r="FJ50" s="134"/>
      <c r="FK50" s="134"/>
      <c r="FL50" s="134"/>
      <c r="FM50" s="134"/>
      <c r="FN50" s="134"/>
      <c r="FO50" s="134"/>
      <c r="FP50" s="134"/>
      <c r="FQ50" s="134"/>
      <c r="FR50" s="134"/>
      <c r="FS50" s="134"/>
      <c r="FT50" s="134"/>
      <c r="FU50" s="134"/>
      <c r="FV50" s="134"/>
      <c r="FW50" s="134"/>
      <c r="FX50" s="134"/>
      <c r="FY50" s="134"/>
      <c r="FZ50" s="134"/>
      <c r="GA50" s="134"/>
      <c r="GB50" s="134"/>
      <c r="GC50" s="134"/>
      <c r="GD50" s="134"/>
      <c r="GE50" s="134"/>
      <c r="GF50" s="134"/>
      <c r="GG50" s="134"/>
      <c r="GH50" s="134"/>
      <c r="GI50" s="134"/>
      <c r="GJ50" s="134"/>
      <c r="GK50" s="134"/>
      <c r="GL50" s="134"/>
      <c r="GM50" s="134"/>
      <c r="GN50" s="134"/>
      <c r="GO50" s="134"/>
      <c r="GP50" s="134"/>
      <c r="GQ50" s="134"/>
      <c r="GR50" s="134"/>
      <c r="GS50" s="134"/>
      <c r="GT50" s="134"/>
      <c r="GU50" s="134"/>
      <c r="GV50" s="134"/>
      <c r="GW50" s="134"/>
      <c r="GX50" s="134"/>
      <c r="GY50" s="134"/>
      <c r="GZ50" s="134"/>
      <c r="HA50" s="134"/>
      <c r="HB50" s="134"/>
      <c r="HC50" s="134"/>
      <c r="HD50" s="134"/>
      <c r="HE50" s="134"/>
      <c r="HF50" s="134"/>
      <c r="HG50" s="134"/>
      <c r="HH50" s="134"/>
      <c r="HI50" s="134"/>
      <c r="HJ50" s="134"/>
      <c r="HK50" s="134"/>
      <c r="HL50" s="134"/>
      <c r="HM50" s="134"/>
      <c r="HN50" s="134"/>
      <c r="HO50" s="134"/>
      <c r="HP50" s="134"/>
      <c r="HQ50" s="134"/>
      <c r="HR50" s="134"/>
      <c r="HS50" s="134"/>
      <c r="HT50" s="134"/>
      <c r="HU50" s="134"/>
      <c r="HV50" s="134"/>
      <c r="HW50" s="134"/>
      <c r="HX50" s="134"/>
      <c r="HY50" s="134"/>
      <c r="HZ50" s="134"/>
      <c r="IA50" s="134"/>
      <c r="IB50" s="134"/>
      <c r="IC50" s="134"/>
      <c r="ID50" s="134"/>
      <c r="IE50" s="134"/>
      <c r="IF50" s="134"/>
      <c r="IG50" s="134"/>
      <c r="IH50" s="134"/>
      <c r="II50" s="134"/>
      <c r="IJ50" s="134"/>
      <c r="IK50" s="134"/>
      <c r="IL50" s="134"/>
      <c r="IM50" s="134"/>
      <c r="IN50" s="134"/>
      <c r="IO50" s="134"/>
      <c r="IP50" s="134"/>
      <c r="IQ50" s="134"/>
      <c r="IR50" s="134"/>
      <c r="IS50" s="134"/>
      <c r="IT50" s="134"/>
      <c r="IU50" s="134"/>
      <c r="IV50" s="134"/>
      <c r="IW50" s="134"/>
      <c r="IX50" s="134"/>
      <c r="IY50" s="134"/>
      <c r="IZ50" s="134"/>
      <c r="JA50" s="134"/>
      <c r="JB50" s="134"/>
      <c r="JC50" s="135"/>
    </row>
    <row r="51" spans="1:267" s="66" customFormat="1" ht="40.5" customHeight="1" x14ac:dyDescent="0.25">
      <c r="A51" s="157">
        <v>10.6</v>
      </c>
      <c r="B51" s="158" t="s">
        <v>172</v>
      </c>
      <c r="C51" s="178" t="s">
        <v>175</v>
      </c>
      <c r="D51" s="160" t="s">
        <v>153</v>
      </c>
      <c r="E51" s="161">
        <v>46139</v>
      </c>
      <c r="F51" s="162">
        <v>46146</v>
      </c>
      <c r="G51" s="163">
        <v>32</v>
      </c>
      <c r="H51" s="164">
        <v>1</v>
      </c>
      <c r="I51" s="132">
        <v>7</v>
      </c>
      <c r="J51" s="133"/>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134"/>
      <c r="BY51" s="134"/>
      <c r="BZ51" s="134"/>
      <c r="CA51" s="134"/>
      <c r="CB51" s="134"/>
      <c r="CC51" s="134"/>
      <c r="CD51" s="134"/>
      <c r="CE51" s="134"/>
      <c r="CF51" s="134"/>
      <c r="CG51" s="134"/>
      <c r="CH51" s="134"/>
      <c r="CI51" s="134"/>
      <c r="CJ51" s="134"/>
      <c r="CK51" s="134"/>
      <c r="CL51" s="134"/>
      <c r="CM51" s="134"/>
      <c r="CN51" s="134"/>
      <c r="CO51" s="134"/>
      <c r="CP51" s="134"/>
      <c r="CQ51" s="134"/>
      <c r="CR51" s="134"/>
      <c r="CS51" s="134"/>
      <c r="CT51" s="134"/>
      <c r="CU51" s="134"/>
      <c r="CV51" s="134"/>
      <c r="CW51" s="134"/>
      <c r="CX51" s="134"/>
      <c r="CY51" s="134"/>
      <c r="CZ51" s="134"/>
      <c r="DA51" s="134"/>
      <c r="DB51" s="134"/>
      <c r="DC51" s="134"/>
      <c r="DD51" s="134"/>
      <c r="DE51" s="134"/>
      <c r="DF51" s="134"/>
      <c r="DG51" s="134"/>
      <c r="DH51" s="134"/>
      <c r="DI51" s="134"/>
      <c r="DJ51" s="134"/>
      <c r="DK51" s="134"/>
      <c r="DL51" s="134"/>
      <c r="DM51" s="134"/>
      <c r="DN51" s="134"/>
      <c r="DO51" s="134"/>
      <c r="DP51" s="134"/>
      <c r="DQ51" s="134"/>
      <c r="DR51" s="134"/>
      <c r="DS51" s="134"/>
      <c r="DT51" s="134"/>
      <c r="DU51" s="134"/>
      <c r="DV51" s="134"/>
      <c r="DW51" s="134"/>
      <c r="DX51" s="134"/>
      <c r="DY51" s="134"/>
      <c r="DZ51" s="134"/>
      <c r="EA51" s="134"/>
      <c r="EB51" s="134"/>
      <c r="EC51" s="134"/>
      <c r="ED51" s="134"/>
      <c r="EE51" s="134"/>
      <c r="EF51" s="134"/>
      <c r="EG51" s="134"/>
      <c r="EH51" s="134"/>
      <c r="EI51" s="134"/>
      <c r="EJ51" s="134"/>
      <c r="EK51" s="134"/>
      <c r="EL51" s="134"/>
      <c r="EM51" s="134"/>
      <c r="EN51" s="134"/>
      <c r="EO51" s="134"/>
      <c r="EP51" s="134"/>
      <c r="EQ51" s="134"/>
      <c r="ER51" s="134"/>
      <c r="ES51" s="134"/>
      <c r="ET51" s="134"/>
      <c r="EU51" s="134"/>
      <c r="EV51" s="134"/>
      <c r="EW51" s="134"/>
      <c r="EX51" s="134"/>
      <c r="EY51" s="134"/>
      <c r="EZ51" s="134"/>
      <c r="FA51" s="134"/>
      <c r="FB51" s="134"/>
      <c r="FC51" s="134"/>
      <c r="FD51" s="134"/>
      <c r="FE51" s="134"/>
      <c r="FF51" s="134"/>
      <c r="FG51" s="134"/>
      <c r="FH51" s="134"/>
      <c r="FI51" s="134"/>
      <c r="FJ51" s="134"/>
      <c r="FK51" s="134"/>
      <c r="FL51" s="134"/>
      <c r="FM51" s="134"/>
      <c r="FN51" s="134"/>
      <c r="FO51" s="134"/>
      <c r="FP51" s="134"/>
      <c r="FQ51" s="134"/>
      <c r="FR51" s="134"/>
      <c r="FS51" s="134"/>
      <c r="FT51" s="134"/>
      <c r="FU51" s="134"/>
      <c r="FV51" s="134"/>
      <c r="FW51" s="134"/>
      <c r="FX51" s="134"/>
      <c r="FY51" s="134"/>
      <c r="FZ51" s="134"/>
      <c r="GA51" s="134"/>
      <c r="GB51" s="134"/>
      <c r="GC51" s="134"/>
      <c r="GD51" s="134"/>
      <c r="GE51" s="134"/>
      <c r="GF51" s="134"/>
      <c r="GG51" s="134"/>
      <c r="GH51" s="134"/>
      <c r="GI51" s="134"/>
      <c r="GJ51" s="134"/>
      <c r="GK51" s="134"/>
      <c r="GL51" s="134"/>
      <c r="GM51" s="134"/>
      <c r="GN51" s="134"/>
      <c r="GO51" s="134"/>
      <c r="GP51" s="134"/>
      <c r="GQ51" s="134"/>
      <c r="GR51" s="134"/>
      <c r="GS51" s="134"/>
      <c r="GT51" s="134"/>
      <c r="GU51" s="134"/>
      <c r="GV51" s="134"/>
      <c r="GW51" s="134"/>
      <c r="GX51" s="134"/>
      <c r="GY51" s="134"/>
      <c r="GZ51" s="134"/>
      <c r="HA51" s="134"/>
      <c r="HB51" s="134"/>
      <c r="HC51" s="134"/>
      <c r="HD51" s="134"/>
      <c r="HE51" s="134"/>
      <c r="HF51" s="134"/>
      <c r="HG51" s="134"/>
      <c r="HH51" s="134"/>
      <c r="HI51" s="134"/>
      <c r="HJ51" s="134"/>
      <c r="HK51" s="134"/>
      <c r="HL51" s="134"/>
      <c r="HM51" s="134"/>
      <c r="HN51" s="134"/>
      <c r="HO51" s="134"/>
      <c r="HP51" s="134"/>
      <c r="HQ51" s="134"/>
      <c r="HR51" s="134"/>
      <c r="HS51" s="134"/>
      <c r="HT51" s="134"/>
      <c r="HU51" s="134"/>
      <c r="HV51" s="134"/>
      <c r="HW51" s="134"/>
      <c r="HX51" s="134"/>
      <c r="HY51" s="134"/>
      <c r="HZ51" s="134"/>
      <c r="IA51" s="134"/>
      <c r="IB51" s="134"/>
      <c r="IC51" s="134"/>
      <c r="ID51" s="134"/>
      <c r="IE51" s="134"/>
      <c r="IF51" s="134"/>
      <c r="IG51" s="134"/>
      <c r="IH51" s="134"/>
      <c r="II51" s="134"/>
      <c r="IJ51" s="134"/>
      <c r="IK51" s="134"/>
      <c r="IL51" s="134"/>
      <c r="IM51" s="134"/>
      <c r="IN51" s="134"/>
      <c r="IO51" s="134"/>
      <c r="IP51" s="134"/>
      <c r="IQ51" s="134"/>
      <c r="IR51" s="134"/>
      <c r="IS51" s="134"/>
      <c r="IT51" s="134"/>
      <c r="IU51" s="134"/>
      <c r="IV51" s="134"/>
      <c r="IW51" s="134"/>
      <c r="IX51" s="134"/>
      <c r="IY51" s="134"/>
      <c r="IZ51" s="134"/>
      <c r="JA51" s="134"/>
      <c r="JB51" s="134"/>
      <c r="JC51" s="135"/>
    </row>
    <row r="52" spans="1:267" s="66" customFormat="1" ht="41.5" customHeight="1" x14ac:dyDescent="0.25">
      <c r="A52" s="157">
        <v>10.7</v>
      </c>
      <c r="B52" s="158" t="s">
        <v>173</v>
      </c>
      <c r="C52" s="178" t="s">
        <v>179</v>
      </c>
      <c r="D52" s="160" t="s">
        <v>153</v>
      </c>
      <c r="E52" s="161">
        <v>46146</v>
      </c>
      <c r="F52" s="162">
        <v>46162</v>
      </c>
      <c r="G52" s="163">
        <v>32</v>
      </c>
      <c r="H52" s="164">
        <v>1</v>
      </c>
      <c r="I52" s="132">
        <v>16</v>
      </c>
      <c r="J52" s="133"/>
      <c r="K52" s="134"/>
      <c r="L52" s="134"/>
      <c r="M52" s="134"/>
      <c r="N52" s="134"/>
      <c r="O52" s="134"/>
      <c r="P52" s="134"/>
      <c r="Q52" s="134"/>
      <c r="R52" s="134"/>
      <c r="S52" s="134"/>
      <c r="T52" s="134"/>
      <c r="U52" s="134"/>
      <c r="V52" s="134"/>
      <c r="W52" s="134"/>
      <c r="X52" s="134"/>
      <c r="Y52" s="134"/>
      <c r="Z52" s="134"/>
      <c r="AA52" s="134"/>
      <c r="AB52" s="134"/>
      <c r="AC52" s="134"/>
      <c r="AD52" s="134"/>
      <c r="AE52" s="134"/>
      <c r="AF52" s="134"/>
      <c r="AG52" s="134"/>
      <c r="AH52" s="134"/>
      <c r="AI52" s="134"/>
      <c r="AJ52" s="134"/>
      <c r="AK52" s="134"/>
      <c r="AL52" s="134"/>
      <c r="AM52" s="134"/>
      <c r="AN52" s="134"/>
      <c r="AO52" s="134"/>
      <c r="AP52" s="134"/>
      <c r="AQ52" s="134"/>
      <c r="AR52" s="134"/>
      <c r="AS52" s="134"/>
      <c r="AT52" s="134"/>
      <c r="AU52" s="134"/>
      <c r="AV52" s="134"/>
      <c r="AW52" s="134"/>
      <c r="AX52" s="134"/>
      <c r="AY52" s="134"/>
      <c r="AZ52" s="134"/>
      <c r="BA52" s="134"/>
      <c r="BB52" s="134"/>
      <c r="BC52" s="134"/>
      <c r="BD52" s="134"/>
      <c r="BE52" s="134"/>
      <c r="BF52" s="134"/>
      <c r="BG52" s="134"/>
      <c r="BH52" s="134"/>
      <c r="BI52" s="134"/>
      <c r="BJ52" s="134"/>
      <c r="BK52" s="134"/>
      <c r="BL52" s="134"/>
      <c r="BM52" s="134"/>
      <c r="BN52" s="134"/>
      <c r="BO52" s="134"/>
      <c r="BP52" s="134"/>
      <c r="BQ52" s="134"/>
      <c r="BR52" s="134"/>
      <c r="BS52" s="134"/>
      <c r="BT52" s="134"/>
      <c r="BU52" s="134"/>
      <c r="BV52" s="134"/>
      <c r="BW52" s="134"/>
      <c r="BX52" s="134"/>
      <c r="BY52" s="134"/>
      <c r="BZ52" s="134"/>
      <c r="CA52" s="134"/>
      <c r="CB52" s="134"/>
      <c r="CC52" s="134"/>
      <c r="CD52" s="134"/>
      <c r="CE52" s="134"/>
      <c r="CF52" s="134"/>
      <c r="CG52" s="134"/>
      <c r="CH52" s="134"/>
      <c r="CI52" s="134"/>
      <c r="CJ52" s="134"/>
      <c r="CK52" s="134"/>
      <c r="CL52" s="134"/>
      <c r="CM52" s="134"/>
      <c r="CN52" s="134"/>
      <c r="CO52" s="134"/>
      <c r="CP52" s="134"/>
      <c r="CQ52" s="134"/>
      <c r="CR52" s="134"/>
      <c r="CS52" s="134"/>
      <c r="CT52" s="134"/>
      <c r="CU52" s="134"/>
      <c r="CV52" s="134"/>
      <c r="CW52" s="134"/>
      <c r="CX52" s="134"/>
      <c r="CY52" s="134"/>
      <c r="CZ52" s="134"/>
      <c r="DA52" s="134"/>
      <c r="DB52" s="134"/>
      <c r="DC52" s="134"/>
      <c r="DD52" s="134"/>
      <c r="DE52" s="134"/>
      <c r="DF52" s="134"/>
      <c r="DG52" s="134"/>
      <c r="DH52" s="134"/>
      <c r="DI52" s="134"/>
      <c r="DJ52" s="134"/>
      <c r="DK52" s="134"/>
      <c r="DL52" s="134"/>
      <c r="DM52" s="134"/>
      <c r="DN52" s="134"/>
      <c r="DO52" s="134"/>
      <c r="DP52" s="134"/>
      <c r="DQ52" s="134"/>
      <c r="DR52" s="134"/>
      <c r="DS52" s="134"/>
      <c r="DT52" s="134"/>
      <c r="DU52" s="134"/>
      <c r="DV52" s="134"/>
      <c r="DW52" s="134"/>
      <c r="DX52" s="134"/>
      <c r="DY52" s="134"/>
      <c r="DZ52" s="134"/>
      <c r="EA52" s="134"/>
      <c r="EB52" s="134"/>
      <c r="EC52" s="134"/>
      <c r="ED52" s="134"/>
      <c r="EE52" s="134"/>
      <c r="EF52" s="134"/>
      <c r="EG52" s="134"/>
      <c r="EH52" s="134"/>
      <c r="EI52" s="134"/>
      <c r="EJ52" s="134"/>
      <c r="EK52" s="134"/>
      <c r="EL52" s="134"/>
      <c r="EM52" s="134"/>
      <c r="EN52" s="134"/>
      <c r="EO52" s="134"/>
      <c r="EP52" s="134"/>
      <c r="EQ52" s="134"/>
      <c r="ER52" s="134"/>
      <c r="ES52" s="134"/>
      <c r="ET52" s="134"/>
      <c r="EU52" s="134"/>
      <c r="EV52" s="134"/>
      <c r="EW52" s="134"/>
      <c r="EX52" s="134"/>
      <c r="EY52" s="134"/>
      <c r="EZ52" s="134"/>
      <c r="FA52" s="134"/>
      <c r="FB52" s="134"/>
      <c r="FC52" s="134"/>
      <c r="FD52" s="134"/>
      <c r="FE52" s="134"/>
      <c r="FF52" s="134"/>
      <c r="FG52" s="134"/>
      <c r="FH52" s="134"/>
      <c r="FI52" s="134"/>
      <c r="FJ52" s="134"/>
      <c r="FK52" s="134"/>
      <c r="FL52" s="134"/>
      <c r="FM52" s="134"/>
      <c r="FN52" s="134"/>
      <c r="FO52" s="134"/>
      <c r="FP52" s="134"/>
      <c r="FQ52" s="134"/>
      <c r="FR52" s="134"/>
      <c r="FS52" s="134"/>
      <c r="FT52" s="134"/>
      <c r="FU52" s="134"/>
      <c r="FV52" s="134"/>
      <c r="FW52" s="134"/>
      <c r="FX52" s="134"/>
      <c r="FY52" s="134"/>
      <c r="FZ52" s="134"/>
      <c r="GA52" s="134"/>
      <c r="GB52" s="134"/>
      <c r="GC52" s="134"/>
      <c r="GD52" s="134"/>
      <c r="GE52" s="134"/>
      <c r="GF52" s="134"/>
      <c r="GG52" s="134"/>
      <c r="GH52" s="134"/>
      <c r="GI52" s="134"/>
      <c r="GJ52" s="134"/>
      <c r="GK52" s="134"/>
      <c r="GL52" s="134"/>
      <c r="GM52" s="134"/>
      <c r="GN52" s="134"/>
      <c r="GO52" s="134"/>
      <c r="GP52" s="134"/>
      <c r="GQ52" s="134"/>
      <c r="GR52" s="134"/>
      <c r="GS52" s="134"/>
      <c r="GT52" s="134"/>
      <c r="GU52" s="134"/>
      <c r="GV52" s="134"/>
      <c r="GW52" s="134"/>
      <c r="GX52" s="134"/>
      <c r="GY52" s="134"/>
      <c r="GZ52" s="134"/>
      <c r="HA52" s="134"/>
      <c r="HB52" s="134"/>
      <c r="HC52" s="134"/>
      <c r="HD52" s="134"/>
      <c r="HE52" s="134"/>
      <c r="HF52" s="134"/>
      <c r="HG52" s="134"/>
      <c r="HH52" s="134"/>
      <c r="HI52" s="134"/>
      <c r="HJ52" s="134"/>
      <c r="HK52" s="134"/>
      <c r="HL52" s="134"/>
      <c r="HM52" s="134"/>
      <c r="HN52" s="134"/>
      <c r="HO52" s="134"/>
      <c r="HP52" s="134"/>
      <c r="HQ52" s="134"/>
      <c r="HR52" s="134"/>
      <c r="HS52" s="134"/>
      <c r="HT52" s="134"/>
      <c r="HU52" s="134"/>
      <c r="HV52" s="134"/>
      <c r="HW52" s="134"/>
      <c r="HX52" s="134"/>
      <c r="HY52" s="134"/>
      <c r="HZ52" s="134"/>
      <c r="IA52" s="134"/>
      <c r="IB52" s="134"/>
      <c r="IC52" s="134"/>
      <c r="ID52" s="134"/>
      <c r="IE52" s="134"/>
      <c r="IF52" s="134"/>
      <c r="IG52" s="134"/>
      <c r="IH52" s="134"/>
      <c r="II52" s="134"/>
      <c r="IJ52" s="134"/>
      <c r="IK52" s="134"/>
      <c r="IL52" s="134"/>
      <c r="IM52" s="134"/>
      <c r="IN52" s="134"/>
      <c r="IO52" s="134"/>
      <c r="IP52" s="134"/>
      <c r="IQ52" s="134"/>
      <c r="IR52" s="134"/>
      <c r="IS52" s="134"/>
      <c r="IT52" s="134"/>
      <c r="IU52" s="134"/>
      <c r="IV52" s="134"/>
      <c r="IW52" s="134"/>
      <c r="IX52" s="134"/>
      <c r="IY52" s="134"/>
      <c r="IZ52" s="134"/>
      <c r="JA52" s="134"/>
      <c r="JB52" s="134"/>
      <c r="JC52" s="135"/>
    </row>
    <row r="53" spans="1:267" s="66" customFormat="1" ht="39.5" customHeight="1" x14ac:dyDescent="0.25">
      <c r="A53" s="157">
        <v>10.8</v>
      </c>
      <c r="B53" s="179" t="s">
        <v>174</v>
      </c>
      <c r="C53" s="180" t="s">
        <v>175</v>
      </c>
      <c r="D53" s="181" t="s">
        <v>153</v>
      </c>
      <c r="E53" s="182">
        <v>46162</v>
      </c>
      <c r="F53" s="183">
        <v>46174</v>
      </c>
      <c r="G53" s="184">
        <v>32</v>
      </c>
      <c r="H53" s="164">
        <v>1</v>
      </c>
      <c r="I53" s="144">
        <v>12</v>
      </c>
      <c r="J53" s="145"/>
      <c r="K53" s="146"/>
      <c r="L53" s="146"/>
      <c r="M53" s="146"/>
      <c r="N53" s="146"/>
      <c r="O53" s="146"/>
      <c r="P53" s="146"/>
      <c r="Q53" s="146"/>
      <c r="R53" s="146"/>
      <c r="S53" s="146"/>
      <c r="T53" s="146"/>
      <c r="U53" s="146"/>
      <c r="V53" s="146"/>
      <c r="W53" s="146"/>
      <c r="X53" s="146"/>
      <c r="Y53" s="146"/>
      <c r="Z53" s="146"/>
      <c r="AA53" s="146"/>
      <c r="AB53" s="146"/>
      <c r="AC53" s="146"/>
      <c r="AD53" s="146"/>
      <c r="AE53" s="146"/>
      <c r="AF53" s="146"/>
      <c r="AG53" s="146"/>
      <c r="AH53" s="146"/>
      <c r="AI53" s="146"/>
      <c r="AJ53" s="146"/>
      <c r="AK53" s="146"/>
      <c r="AL53" s="146"/>
      <c r="AM53" s="146"/>
      <c r="AN53" s="146"/>
      <c r="AO53" s="146"/>
      <c r="AP53" s="146"/>
      <c r="AQ53" s="146"/>
      <c r="AR53" s="146"/>
      <c r="AS53" s="146"/>
      <c r="AT53" s="146"/>
      <c r="AU53" s="146"/>
      <c r="AV53" s="146"/>
      <c r="AW53" s="146"/>
      <c r="AX53" s="146"/>
      <c r="AY53" s="146"/>
      <c r="AZ53" s="146"/>
      <c r="BA53" s="146"/>
      <c r="BB53" s="146"/>
      <c r="BC53" s="146"/>
      <c r="BD53" s="146"/>
      <c r="BE53" s="146"/>
      <c r="BF53" s="146"/>
      <c r="BG53" s="146"/>
      <c r="BH53" s="146"/>
      <c r="BI53" s="146"/>
      <c r="BJ53" s="146"/>
      <c r="BK53" s="146"/>
      <c r="BL53" s="146"/>
      <c r="BM53" s="146"/>
      <c r="BN53" s="146"/>
      <c r="BO53" s="146"/>
      <c r="BP53" s="146"/>
      <c r="BQ53" s="146"/>
      <c r="BR53" s="146"/>
      <c r="BS53" s="146"/>
      <c r="BT53" s="146"/>
      <c r="BU53" s="146"/>
      <c r="BV53" s="146"/>
      <c r="BW53" s="146"/>
      <c r="BX53" s="146"/>
      <c r="BY53" s="146"/>
      <c r="BZ53" s="146"/>
      <c r="CA53" s="146"/>
      <c r="CB53" s="146"/>
      <c r="CC53" s="146"/>
      <c r="CD53" s="146"/>
      <c r="CE53" s="146"/>
      <c r="CF53" s="146"/>
      <c r="CG53" s="146"/>
      <c r="CH53" s="146"/>
      <c r="CI53" s="146"/>
      <c r="CJ53" s="146"/>
      <c r="CK53" s="146"/>
      <c r="CL53" s="146"/>
      <c r="CM53" s="146"/>
      <c r="CN53" s="146"/>
      <c r="CO53" s="146"/>
      <c r="CP53" s="146"/>
      <c r="CQ53" s="146"/>
      <c r="CR53" s="146"/>
      <c r="CS53" s="146"/>
      <c r="CT53" s="146"/>
      <c r="CU53" s="146"/>
      <c r="CV53" s="146"/>
      <c r="CW53" s="146"/>
      <c r="CX53" s="146"/>
      <c r="CY53" s="146"/>
      <c r="CZ53" s="146"/>
      <c r="DA53" s="146"/>
      <c r="DB53" s="146"/>
      <c r="DC53" s="146"/>
      <c r="DD53" s="146"/>
      <c r="DE53" s="146"/>
      <c r="DF53" s="146"/>
      <c r="DG53" s="146"/>
      <c r="DH53" s="146"/>
      <c r="DI53" s="146"/>
      <c r="DJ53" s="146"/>
      <c r="DK53" s="146"/>
      <c r="DL53" s="146"/>
      <c r="DM53" s="146"/>
      <c r="DN53" s="146"/>
      <c r="DO53" s="146"/>
      <c r="DP53" s="146"/>
      <c r="DQ53" s="146"/>
      <c r="DR53" s="146"/>
      <c r="DS53" s="146"/>
      <c r="DT53" s="146"/>
      <c r="DU53" s="146"/>
      <c r="DV53" s="146"/>
      <c r="DW53" s="146"/>
      <c r="DX53" s="146"/>
      <c r="DY53" s="146"/>
      <c r="DZ53" s="146"/>
      <c r="EA53" s="146"/>
      <c r="EB53" s="146"/>
      <c r="EC53" s="146"/>
      <c r="ED53" s="146"/>
      <c r="EE53" s="146"/>
      <c r="EF53" s="146"/>
      <c r="EG53" s="146"/>
      <c r="EH53" s="146"/>
      <c r="EI53" s="146"/>
      <c r="EJ53" s="146"/>
      <c r="EK53" s="146"/>
      <c r="EL53" s="146"/>
      <c r="EM53" s="146"/>
      <c r="EN53" s="146"/>
      <c r="EO53" s="146"/>
      <c r="EP53" s="146"/>
      <c r="EQ53" s="146"/>
      <c r="ER53" s="146"/>
      <c r="ES53" s="146"/>
      <c r="ET53" s="146"/>
      <c r="EU53" s="146"/>
      <c r="EV53" s="146"/>
      <c r="EW53" s="146"/>
      <c r="EX53" s="146"/>
      <c r="EY53" s="146"/>
      <c r="EZ53" s="146"/>
      <c r="FA53" s="146"/>
      <c r="FB53" s="146"/>
      <c r="FC53" s="146"/>
      <c r="FD53" s="146"/>
      <c r="FE53" s="146"/>
      <c r="FF53" s="146"/>
      <c r="FG53" s="146"/>
      <c r="FH53" s="146"/>
      <c r="FI53" s="146"/>
      <c r="FJ53" s="146"/>
      <c r="FK53" s="146"/>
      <c r="FL53" s="146"/>
      <c r="FM53" s="146"/>
      <c r="FN53" s="146"/>
      <c r="FO53" s="146"/>
      <c r="FP53" s="146"/>
      <c r="FQ53" s="146"/>
      <c r="FR53" s="146"/>
      <c r="FS53" s="146"/>
      <c r="FT53" s="146"/>
      <c r="FU53" s="146"/>
      <c r="FV53" s="146"/>
      <c r="FW53" s="146"/>
      <c r="FX53" s="146"/>
      <c r="FY53" s="146"/>
      <c r="FZ53" s="146"/>
      <c r="GA53" s="146"/>
      <c r="GB53" s="146"/>
      <c r="GC53" s="146"/>
      <c r="GD53" s="146"/>
      <c r="GE53" s="146"/>
      <c r="GF53" s="146"/>
      <c r="GG53" s="146"/>
      <c r="GH53" s="146"/>
      <c r="GI53" s="146"/>
      <c r="GJ53" s="146"/>
      <c r="GK53" s="146"/>
      <c r="GL53" s="146"/>
      <c r="GM53" s="146"/>
      <c r="GN53" s="146"/>
      <c r="GO53" s="146"/>
      <c r="GP53" s="146"/>
      <c r="GQ53" s="146"/>
      <c r="GR53" s="146"/>
      <c r="GS53" s="146"/>
      <c r="GT53" s="146"/>
      <c r="GU53" s="146"/>
      <c r="GV53" s="146"/>
      <c r="GW53" s="146"/>
      <c r="GX53" s="146"/>
      <c r="GY53" s="146"/>
      <c r="GZ53" s="146"/>
      <c r="HA53" s="146"/>
      <c r="HB53" s="146"/>
      <c r="HC53" s="146"/>
      <c r="HD53" s="146"/>
      <c r="HE53" s="146"/>
      <c r="HF53" s="146"/>
      <c r="HG53" s="146"/>
      <c r="HH53" s="146"/>
      <c r="HI53" s="146"/>
      <c r="HJ53" s="146"/>
      <c r="HK53" s="146"/>
      <c r="HL53" s="146"/>
      <c r="HM53" s="146"/>
      <c r="HN53" s="146"/>
      <c r="HO53" s="146"/>
      <c r="HP53" s="146"/>
      <c r="HQ53" s="146"/>
      <c r="HR53" s="146"/>
      <c r="HS53" s="146"/>
      <c r="HT53" s="146"/>
      <c r="HU53" s="146"/>
      <c r="HV53" s="146"/>
      <c r="HW53" s="146"/>
      <c r="HX53" s="146"/>
      <c r="HY53" s="146"/>
      <c r="HZ53" s="146"/>
      <c r="IA53" s="146"/>
      <c r="IB53" s="146"/>
      <c r="IC53" s="146"/>
      <c r="ID53" s="146"/>
      <c r="IE53" s="146"/>
      <c r="IF53" s="146"/>
      <c r="IG53" s="146"/>
      <c r="IH53" s="146"/>
      <c r="II53" s="146"/>
      <c r="IJ53" s="146"/>
      <c r="IK53" s="146"/>
      <c r="IL53" s="146"/>
      <c r="IM53" s="146"/>
      <c r="IN53" s="146"/>
      <c r="IO53" s="146"/>
      <c r="IP53" s="146"/>
      <c r="IQ53" s="146"/>
      <c r="IR53" s="146"/>
      <c r="IS53" s="146"/>
      <c r="IT53" s="146"/>
      <c r="IU53" s="146"/>
      <c r="IV53" s="146"/>
      <c r="IW53" s="146"/>
      <c r="IX53" s="146"/>
      <c r="IY53" s="146"/>
      <c r="IZ53" s="146"/>
      <c r="JA53" s="146"/>
      <c r="JB53" s="146"/>
      <c r="JC53" s="147"/>
      <c r="JG53" s="96"/>
    </row>
  </sheetData>
  <sheetProtection formatCells="0" formatColumns="0" formatRows="0" insertRows="0" deleteRows="0"/>
  <mergeCells count="75">
    <mergeCell ref="AF4:AL4"/>
    <mergeCell ref="AF5:AL5"/>
    <mergeCell ref="BH4:BN4"/>
    <mergeCell ref="BH5:BN5"/>
    <mergeCell ref="AM5:AS5"/>
    <mergeCell ref="AT4:AZ4"/>
    <mergeCell ref="AT5:AZ5"/>
    <mergeCell ref="AM4:AS4"/>
    <mergeCell ref="BA4:BG4"/>
    <mergeCell ref="BA5:BG5"/>
    <mergeCell ref="K1:AE1"/>
    <mergeCell ref="C5:E5"/>
    <mergeCell ref="R4:X4"/>
    <mergeCell ref="K4:Q4"/>
    <mergeCell ref="C4:E4"/>
    <mergeCell ref="R5:X5"/>
    <mergeCell ref="K5:Q5"/>
    <mergeCell ref="Y4:AE4"/>
    <mergeCell ref="Y5:AE5"/>
    <mergeCell ref="CJ4:CP4"/>
    <mergeCell ref="CJ5:CP5"/>
    <mergeCell ref="CQ4:CW4"/>
    <mergeCell ref="CQ5:CW5"/>
    <mergeCell ref="BO4:BU4"/>
    <mergeCell ref="BO5:BU5"/>
    <mergeCell ref="BV4:CB4"/>
    <mergeCell ref="BV5:CB5"/>
    <mergeCell ref="CC4:CI4"/>
    <mergeCell ref="CC5:CI5"/>
    <mergeCell ref="DL5:DR5"/>
    <mergeCell ref="DS5:DY5"/>
    <mergeCell ref="DZ5:EF5"/>
    <mergeCell ref="EG5:EM5"/>
    <mergeCell ref="CX4:DD4"/>
    <mergeCell ref="DE4:DK4"/>
    <mergeCell ref="CX5:DD5"/>
    <mergeCell ref="DE5:DK5"/>
    <mergeCell ref="DL4:DR4"/>
    <mergeCell ref="DZ4:EF4"/>
    <mergeCell ref="EG4:EM4"/>
    <mergeCell ref="EN4:ET4"/>
    <mergeCell ref="EN5:ET5"/>
    <mergeCell ref="DS4:DY4"/>
    <mergeCell ref="EU4:FA4"/>
    <mergeCell ref="FB4:FH4"/>
    <mergeCell ref="FI4:FO4"/>
    <mergeCell ref="FP4:FV4"/>
    <mergeCell ref="FW4:GC4"/>
    <mergeCell ref="EU5:FA5"/>
    <mergeCell ref="FB5:FH5"/>
    <mergeCell ref="FI5:FO5"/>
    <mergeCell ref="FP5:FV5"/>
    <mergeCell ref="FW5:GC5"/>
    <mergeCell ref="IH4:IN4"/>
    <mergeCell ref="GD4:GJ4"/>
    <mergeCell ref="GD5:GJ5"/>
    <mergeCell ref="GK4:GQ4"/>
    <mergeCell ref="GR4:GX4"/>
    <mergeCell ref="GY4:HE4"/>
    <mergeCell ref="IO4:IU4"/>
    <mergeCell ref="IV4:JB4"/>
    <mergeCell ref="GK5:GQ5"/>
    <mergeCell ref="GR5:GX5"/>
    <mergeCell ref="GY5:HE5"/>
    <mergeCell ref="HF5:HL5"/>
    <mergeCell ref="HM5:HS5"/>
    <mergeCell ref="HT5:HZ5"/>
    <mergeCell ref="IA5:IG5"/>
    <mergeCell ref="IH5:IN5"/>
    <mergeCell ref="IO5:IU5"/>
    <mergeCell ref="IV5:JB5"/>
    <mergeCell ref="HF4:HL4"/>
    <mergeCell ref="HM4:HS4"/>
    <mergeCell ref="HT4:HZ4"/>
    <mergeCell ref="IA4:IG4"/>
  </mergeCells>
  <phoneticPr fontId="3" type="noConversion"/>
  <conditionalFormatting sqref="H9:H39 H41:H44 H46:H53">
    <cfRule type="dataBar" priority="390">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JB8">
    <cfRule type="expression" dxfId="4" priority="77">
      <formula>K$6=TODAY()</formula>
    </cfRule>
  </conditionalFormatting>
  <conditionalFormatting sqref="K6:JB53">
    <cfRule type="expression" dxfId="3" priority="1">
      <formula>K$6=TODAY()</formula>
    </cfRule>
  </conditionalFormatting>
  <conditionalFormatting sqref="K9:JB39 K41:JB53">
    <cfRule type="expression" dxfId="2" priority="78">
      <formula>AND($E9&lt;=K$6,ROUNDDOWN(($F9-$E9+1)*$H9,0)+$E9-1&gt;=K$6)</formula>
    </cfRule>
    <cfRule type="expression" dxfId="1" priority="79">
      <formula>AND(NOT(ISBLANK($E9)),$E9&lt;=K$6,$F9&gt;=K$6)</formula>
    </cfRule>
  </conditionalFormatting>
  <conditionalFormatting sqref="K40:JB40">
    <cfRule type="expression" dxfId="0" priority="73">
      <formula>K$6=TODAY()</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75" bottom="0.75" header="0.3" footer="0.3"/>
  <pageSetup paperSize="119" scale="65" orientation="landscape" r:id="rId1"/>
  <headerFooter alignWithMargins="0"/>
  <ignoredErrors>
    <ignoredError sqref="H10 E15 E18 E20 G15:H15 G18:H18 G20:H20" unlockedFormula="1"/>
    <ignoredError sqref="A18 A15"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H9:H39 H41:H44 H46:H53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46"/>
  <sheetViews>
    <sheetView showGridLines="0" workbookViewId="0"/>
  </sheetViews>
  <sheetFormatPr defaultRowHeight="12.5" x14ac:dyDescent="0.25"/>
  <cols>
    <col min="1" max="1" width="5.54296875" customWidth="1"/>
    <col min="2" max="2" width="37.7265625" customWidth="1"/>
    <col min="3" max="3" width="55.1796875" customWidth="1"/>
    <col min="4" max="7" width="8.81640625"/>
  </cols>
  <sheetData>
    <row r="1" spans="1:3" ht="30" customHeight="1" x14ac:dyDescent="0.25">
      <c r="A1" s="20" t="s">
        <v>20</v>
      </c>
    </row>
    <row r="4" spans="1:3" ht="13" x14ac:dyDescent="0.3">
      <c r="C4" s="4" t="s">
        <v>28</v>
      </c>
    </row>
    <row r="5" spans="1:3" x14ac:dyDescent="0.25">
      <c r="C5" s="2" t="s">
        <v>29</v>
      </c>
    </row>
    <row r="6" spans="1:3" x14ac:dyDescent="0.25">
      <c r="C6" s="2"/>
    </row>
    <row r="7" spans="1:3" ht="17.5" x14ac:dyDescent="0.35">
      <c r="C7" s="13" t="s">
        <v>48</v>
      </c>
    </row>
    <row r="8" spans="1:3" x14ac:dyDescent="0.25">
      <c r="C8" s="14" t="s">
        <v>46</v>
      </c>
    </row>
    <row r="10" spans="1:3" x14ac:dyDescent="0.25">
      <c r="C10" s="2" t="s">
        <v>45</v>
      </c>
    </row>
    <row r="11" spans="1:3" x14ac:dyDescent="0.25">
      <c r="C11" s="2" t="s">
        <v>44</v>
      </c>
    </row>
    <row r="13" spans="1:3" ht="17.5" x14ac:dyDescent="0.35">
      <c r="C13" s="13" t="s">
        <v>43</v>
      </c>
    </row>
    <row r="16" spans="1:3" ht="15.5" x14ac:dyDescent="0.35">
      <c r="A16" s="16" t="s">
        <v>22</v>
      </c>
    </row>
    <row r="18" spans="2:2" ht="14" x14ac:dyDescent="0.3">
      <c r="B18" s="15" t="s">
        <v>33</v>
      </c>
    </row>
    <row r="19" spans="2:2" x14ac:dyDescent="0.25">
      <c r="B19" s="2" t="s">
        <v>38</v>
      </c>
    </row>
    <row r="20" spans="2:2" x14ac:dyDescent="0.25">
      <c r="B20" s="2" t="s">
        <v>39</v>
      </c>
    </row>
    <row r="22" spans="2:2" ht="14" x14ac:dyDescent="0.3">
      <c r="B22" s="15" t="s">
        <v>40</v>
      </c>
    </row>
    <row r="23" spans="2:2" x14ac:dyDescent="0.25">
      <c r="B23" s="2" t="s">
        <v>41</v>
      </c>
    </row>
    <row r="24" spans="2:2" x14ac:dyDescent="0.25">
      <c r="B24" s="2" t="s">
        <v>42</v>
      </c>
    </row>
    <row r="26" spans="2:2" ht="14" x14ac:dyDescent="0.3">
      <c r="B26" s="15" t="s">
        <v>30</v>
      </c>
    </row>
    <row r="27" spans="2:2" x14ac:dyDescent="0.25">
      <c r="B27" s="2" t="s">
        <v>34</v>
      </c>
    </row>
    <row r="28" spans="2:2" x14ac:dyDescent="0.25">
      <c r="B28" s="2" t="s">
        <v>35</v>
      </c>
    </row>
    <row r="29" spans="2:2" x14ac:dyDescent="0.25">
      <c r="B29" s="2" t="s">
        <v>36</v>
      </c>
    </row>
    <row r="30" spans="2:2" x14ac:dyDescent="0.25">
      <c r="B30" t="s">
        <v>23</v>
      </c>
    </row>
    <row r="31" spans="2:2" x14ac:dyDescent="0.25">
      <c r="B31" t="s">
        <v>24</v>
      </c>
    </row>
    <row r="32" spans="2:2" x14ac:dyDescent="0.25">
      <c r="B32" t="s">
        <v>25</v>
      </c>
    </row>
    <row r="34" spans="2:2" ht="14" x14ac:dyDescent="0.3">
      <c r="B34" s="15" t="s">
        <v>26</v>
      </c>
    </row>
    <row r="35" spans="2:2" x14ac:dyDescent="0.25">
      <c r="B35" s="2" t="s">
        <v>119</v>
      </c>
    </row>
    <row r="36" spans="2:2" x14ac:dyDescent="0.25">
      <c r="B36" s="2" t="s">
        <v>120</v>
      </c>
    </row>
    <row r="37" spans="2:2" x14ac:dyDescent="0.25">
      <c r="B37" s="2" t="s">
        <v>121</v>
      </c>
    </row>
    <row r="39" spans="2:2" ht="14" x14ac:dyDescent="0.3">
      <c r="B39" s="15" t="s">
        <v>27</v>
      </c>
    </row>
    <row r="40" spans="2:2" x14ac:dyDescent="0.25">
      <c r="B40" s="2" t="s">
        <v>37</v>
      </c>
    </row>
    <row r="42" spans="2:2" ht="14" x14ac:dyDescent="0.3">
      <c r="B42" s="15" t="s">
        <v>31</v>
      </c>
    </row>
    <row r="43" spans="2:2" x14ac:dyDescent="0.25">
      <c r="B43" s="2" t="s">
        <v>122</v>
      </c>
    </row>
    <row r="44" spans="2:2" x14ac:dyDescent="0.25">
      <c r="B44" s="2" t="s">
        <v>32</v>
      </c>
    </row>
    <row r="46" spans="2:2" ht="17.5" x14ac:dyDescent="0.35">
      <c r="B46" s="13" t="s">
        <v>21</v>
      </c>
    </row>
  </sheetData>
  <hyperlinks>
    <hyperlink ref="C7" r:id="rId1" xr:uid="{00000000-0004-0000-0100-000000000000}"/>
    <hyperlink ref="B46" r:id="rId2" tooltip="Go to Vertex42.com" display="https://www.vertex42.com/Links/go.php?urlid=GanttChartPro" xr:uid="{00000000-0004-0000-0100-000001000000}"/>
    <hyperlink ref="C13" r:id="rId3" display="https://www.vertex42.com/blog/business/pm/new-gantt-chart-for-excel-online.html" xr:uid="{00000000-0004-0000-0100-000002000000}"/>
  </hyperlinks>
  <pageMargins left="0.7" right="0.7" top="0.75" bottom="0.75" header="0.3" footer="0.3"/>
  <pageSetup scale="93" orientation="portrait" r:id="rId4"/>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94"/>
  <sheetViews>
    <sheetView showGridLines="0" workbookViewId="0"/>
  </sheetViews>
  <sheetFormatPr defaultColWidth="8.81640625" defaultRowHeight="12.5" x14ac:dyDescent="0.25"/>
  <cols>
    <col min="1" max="1" width="5.54296875" style="2" customWidth="1"/>
    <col min="2" max="2" width="90.453125" style="2" customWidth="1"/>
    <col min="3" max="3" width="16.453125" style="2" bestFit="1" customWidth="1"/>
    <col min="4" max="16384" width="8.81640625" style="2"/>
  </cols>
  <sheetData>
    <row r="1" spans="1:3" ht="30" customHeight="1" x14ac:dyDescent="0.25">
      <c r="A1" s="24" t="s">
        <v>114</v>
      </c>
      <c r="B1" s="25"/>
    </row>
    <row r="2" spans="1:3" ht="14" x14ac:dyDescent="0.3">
      <c r="A2" s="46" t="s">
        <v>46</v>
      </c>
      <c r="B2" s="3"/>
    </row>
    <row r="3" spans="1:3" x14ac:dyDescent="0.25">
      <c r="B3" s="3"/>
    </row>
    <row r="4" spans="1:3" ht="17.5" x14ac:dyDescent="0.35">
      <c r="A4" s="41" t="s">
        <v>81</v>
      </c>
      <c r="B4" s="16"/>
    </row>
    <row r="5" spans="1:3" ht="56" x14ac:dyDescent="0.3">
      <c r="B5" s="47" t="s">
        <v>70</v>
      </c>
    </row>
    <row r="7" spans="1:3" ht="28" x14ac:dyDescent="0.3">
      <c r="B7" s="47" t="s">
        <v>82</v>
      </c>
    </row>
    <row r="9" spans="1:3" ht="14" x14ac:dyDescent="0.3">
      <c r="B9" s="46" t="s">
        <v>57</v>
      </c>
    </row>
    <row r="11" spans="1:3" ht="28" x14ac:dyDescent="0.3">
      <c r="B11" s="45" t="s">
        <v>58</v>
      </c>
    </row>
    <row r="13" spans="1:3" ht="17.5" x14ac:dyDescent="0.35">
      <c r="A13" s="195" t="s">
        <v>3</v>
      </c>
      <c r="B13" s="195"/>
    </row>
    <row r="15" spans="1:3" s="42" customFormat="1" ht="17.5" x14ac:dyDescent="0.25">
      <c r="A15" s="49"/>
      <c r="B15" s="48" t="s">
        <v>73</v>
      </c>
    </row>
    <row r="16" spans="1:3" s="42" customFormat="1" ht="17.5" x14ac:dyDescent="0.25">
      <c r="A16" s="49"/>
      <c r="B16" s="48" t="s">
        <v>71</v>
      </c>
      <c r="C16" s="44" t="s">
        <v>2</v>
      </c>
    </row>
    <row r="17" spans="1:3" ht="17.5" x14ac:dyDescent="0.35">
      <c r="A17" s="50"/>
      <c r="B17" s="48" t="s">
        <v>75</v>
      </c>
    </row>
    <row r="18" spans="1:3" ht="17.5" x14ac:dyDescent="0.35">
      <c r="A18" s="50"/>
      <c r="B18" s="48" t="s">
        <v>83</v>
      </c>
    </row>
    <row r="19" spans="1:3" ht="17.5" x14ac:dyDescent="0.35">
      <c r="A19" s="50"/>
      <c r="B19" s="48" t="s">
        <v>84</v>
      </c>
    </row>
    <row r="20" spans="1:3" s="42" customFormat="1" ht="17.5" x14ac:dyDescent="0.25">
      <c r="A20" s="49"/>
      <c r="B20" s="48" t="s">
        <v>72</v>
      </c>
      <c r="C20" s="43" t="s">
        <v>1</v>
      </c>
    </row>
    <row r="21" spans="1:3" ht="17.5" x14ac:dyDescent="0.35">
      <c r="A21" s="50"/>
      <c r="B21" s="48" t="s">
        <v>74</v>
      </c>
    </row>
    <row r="22" spans="1:3" ht="17.5" x14ac:dyDescent="0.35">
      <c r="A22" s="50"/>
      <c r="B22" s="51" t="s">
        <v>76</v>
      </c>
    </row>
    <row r="23" spans="1:3" ht="17.5" x14ac:dyDescent="0.35">
      <c r="A23" s="50"/>
      <c r="B23" s="4"/>
    </row>
    <row r="24" spans="1:3" ht="17.5" x14ac:dyDescent="0.35">
      <c r="A24" s="195" t="s">
        <v>77</v>
      </c>
      <c r="B24" s="195"/>
    </row>
    <row r="25" spans="1:3" ht="42" x14ac:dyDescent="0.35">
      <c r="A25" s="50"/>
      <c r="B25" s="48" t="s">
        <v>85</v>
      </c>
    </row>
    <row r="26" spans="1:3" ht="17.5" x14ac:dyDescent="0.35">
      <c r="A26" s="50"/>
      <c r="B26" s="48"/>
    </row>
    <row r="27" spans="1:3" ht="17.5" x14ac:dyDescent="0.35">
      <c r="A27" s="50"/>
      <c r="B27" s="65" t="s">
        <v>89</v>
      </c>
    </row>
    <row r="28" spans="1:3" ht="17.5" x14ac:dyDescent="0.35">
      <c r="A28" s="50"/>
      <c r="B28" s="48" t="s">
        <v>78</v>
      </c>
    </row>
    <row r="29" spans="1:3" ht="28" x14ac:dyDescent="0.35">
      <c r="A29" s="50"/>
      <c r="B29" s="48" t="s">
        <v>80</v>
      </c>
    </row>
    <row r="30" spans="1:3" ht="17.5" x14ac:dyDescent="0.35">
      <c r="A30" s="50"/>
      <c r="B30" s="48"/>
    </row>
    <row r="31" spans="1:3" ht="17.5" x14ac:dyDescent="0.35">
      <c r="A31" s="50"/>
      <c r="B31" s="65" t="s">
        <v>86</v>
      </c>
    </row>
    <row r="32" spans="1:3" ht="17.5" x14ac:dyDescent="0.35">
      <c r="A32" s="50"/>
      <c r="B32" s="48" t="s">
        <v>79</v>
      </c>
    </row>
    <row r="33" spans="1:2" ht="17.5" x14ac:dyDescent="0.35">
      <c r="A33" s="50"/>
      <c r="B33" s="48" t="s">
        <v>87</v>
      </c>
    </row>
    <row r="34" spans="1:2" ht="17.5" x14ac:dyDescent="0.35">
      <c r="A34" s="50"/>
      <c r="B34" s="4"/>
    </row>
    <row r="35" spans="1:2" ht="28" x14ac:dyDescent="0.35">
      <c r="A35" s="50"/>
      <c r="B35" s="48" t="s">
        <v>124</v>
      </c>
    </row>
    <row r="36" spans="1:2" ht="17.5" x14ac:dyDescent="0.35">
      <c r="A36" s="50"/>
      <c r="B36" s="52" t="s">
        <v>88</v>
      </c>
    </row>
    <row r="37" spans="1:2" ht="17.5" x14ac:dyDescent="0.35">
      <c r="A37" s="50"/>
      <c r="B37" s="4"/>
    </row>
    <row r="38" spans="1:2" ht="17.5" x14ac:dyDescent="0.35">
      <c r="A38" s="195" t="s">
        <v>8</v>
      </c>
      <c r="B38" s="195"/>
    </row>
    <row r="39" spans="1:2" ht="28" x14ac:dyDescent="0.25">
      <c r="B39" s="48" t="s">
        <v>91</v>
      </c>
    </row>
    <row r="41" spans="1:2" ht="14" x14ac:dyDescent="0.25">
      <c r="B41" s="48" t="s">
        <v>92</v>
      </c>
    </row>
    <row r="43" spans="1:2" ht="28" x14ac:dyDescent="0.25">
      <c r="B43" s="48" t="s">
        <v>90</v>
      </c>
    </row>
    <row r="45" spans="1:2" ht="28" x14ac:dyDescent="0.25">
      <c r="B45" s="48" t="s">
        <v>93</v>
      </c>
    </row>
    <row r="46" spans="1:2" x14ac:dyDescent="0.25">
      <c r="B46" s="11"/>
    </row>
    <row r="47" spans="1:2" ht="28" x14ac:dyDescent="0.25">
      <c r="B47" s="48" t="s">
        <v>94</v>
      </c>
    </row>
    <row r="49" spans="1:2" ht="17.5" x14ac:dyDescent="0.35">
      <c r="A49" s="195" t="s">
        <v>6</v>
      </c>
      <c r="B49" s="195"/>
    </row>
    <row r="50" spans="1:2" ht="28" x14ac:dyDescent="0.25">
      <c r="B50" s="48" t="s">
        <v>125</v>
      </c>
    </row>
    <row r="52" spans="1:2" ht="14" x14ac:dyDescent="0.3">
      <c r="A52" s="53" t="s">
        <v>9</v>
      </c>
      <c r="B52" s="48" t="s">
        <v>10</v>
      </c>
    </row>
    <row r="53" spans="1:2" ht="14" x14ac:dyDescent="0.3">
      <c r="A53" s="53" t="s">
        <v>11</v>
      </c>
      <c r="B53" s="48" t="s">
        <v>12</v>
      </c>
    </row>
    <row r="54" spans="1:2" ht="14" x14ac:dyDescent="0.3">
      <c r="A54" s="53" t="s">
        <v>13</v>
      </c>
      <c r="B54" s="48" t="s">
        <v>14</v>
      </c>
    </row>
    <row r="55" spans="1:2" ht="28.5" x14ac:dyDescent="0.3">
      <c r="A55" s="45"/>
      <c r="B55" s="48" t="s">
        <v>95</v>
      </c>
    </row>
    <row r="56" spans="1:2" ht="28.5" x14ac:dyDescent="0.3">
      <c r="A56" s="45"/>
      <c r="B56" s="48" t="s">
        <v>96</v>
      </c>
    </row>
    <row r="57" spans="1:2" ht="14" x14ac:dyDescent="0.3">
      <c r="A57" s="53" t="s">
        <v>15</v>
      </c>
      <c r="B57" s="48" t="s">
        <v>16</v>
      </c>
    </row>
    <row r="58" spans="1:2" ht="14.5" x14ac:dyDescent="0.3">
      <c r="A58" s="45"/>
      <c r="B58" s="48" t="s">
        <v>97</v>
      </c>
    </row>
    <row r="59" spans="1:2" ht="14.5" x14ac:dyDescent="0.3">
      <c r="A59" s="45"/>
      <c r="B59" s="48" t="s">
        <v>98</v>
      </c>
    </row>
    <row r="60" spans="1:2" ht="14" x14ac:dyDescent="0.3">
      <c r="A60" s="53" t="s">
        <v>17</v>
      </c>
      <c r="B60" s="48" t="s">
        <v>18</v>
      </c>
    </row>
    <row r="61" spans="1:2" ht="28.5" x14ac:dyDescent="0.3">
      <c r="A61" s="45"/>
      <c r="B61" s="48" t="s">
        <v>99</v>
      </c>
    </row>
    <row r="62" spans="1:2" ht="14" x14ac:dyDescent="0.3">
      <c r="A62" s="53" t="s">
        <v>100</v>
      </c>
      <c r="B62" s="48" t="s">
        <v>101</v>
      </c>
    </row>
    <row r="63" spans="1:2" ht="14" x14ac:dyDescent="0.3">
      <c r="A63" s="54"/>
      <c r="B63" s="48" t="s">
        <v>102</v>
      </c>
    </row>
    <row r="64" spans="1:2" x14ac:dyDescent="0.25">
      <c r="B64" s="5"/>
    </row>
    <row r="65" spans="1:2" ht="17.5" x14ac:dyDescent="0.35">
      <c r="A65" s="195" t="s">
        <v>7</v>
      </c>
      <c r="B65" s="195"/>
    </row>
    <row r="66" spans="1:2" ht="42" x14ac:dyDescent="0.25">
      <c r="B66" s="48" t="s">
        <v>103</v>
      </c>
    </row>
    <row r="68" spans="1:2" ht="17.5" x14ac:dyDescent="0.35">
      <c r="A68" s="195" t="s">
        <v>4</v>
      </c>
      <c r="B68" s="195"/>
    </row>
    <row r="69" spans="1:2" ht="14" x14ac:dyDescent="0.3">
      <c r="A69" s="60" t="s">
        <v>5</v>
      </c>
      <c r="B69" s="61" t="s">
        <v>104</v>
      </c>
    </row>
    <row r="70" spans="1:2" ht="28" x14ac:dyDescent="0.3">
      <c r="A70" s="54"/>
      <c r="B70" s="59" t="s">
        <v>106</v>
      </c>
    </row>
    <row r="71" spans="1:2" ht="14" x14ac:dyDescent="0.3">
      <c r="A71" s="54"/>
      <c r="B71" s="55"/>
    </row>
    <row r="72" spans="1:2" ht="14" x14ac:dyDescent="0.3">
      <c r="A72" s="60" t="s">
        <v>5</v>
      </c>
      <c r="B72" s="61" t="s">
        <v>123</v>
      </c>
    </row>
    <row r="73" spans="1:2" ht="28.5" x14ac:dyDescent="0.3">
      <c r="A73" s="54"/>
      <c r="B73" s="59" t="s">
        <v>127</v>
      </c>
    </row>
    <row r="74" spans="1:2" ht="14" x14ac:dyDescent="0.3">
      <c r="A74" s="54"/>
      <c r="B74" s="55"/>
    </row>
    <row r="75" spans="1:2" ht="14" x14ac:dyDescent="0.3">
      <c r="A75" s="60" t="s">
        <v>5</v>
      </c>
      <c r="B75" s="63" t="s">
        <v>109</v>
      </c>
    </row>
    <row r="76" spans="1:2" ht="42" x14ac:dyDescent="0.3">
      <c r="A76" s="54"/>
      <c r="B76" s="47" t="s">
        <v>126</v>
      </c>
    </row>
    <row r="77" spans="1:2" ht="14" x14ac:dyDescent="0.3">
      <c r="A77" s="54"/>
      <c r="B77" s="54"/>
    </row>
    <row r="78" spans="1:2" ht="14" x14ac:dyDescent="0.3">
      <c r="A78" s="60" t="s">
        <v>5</v>
      </c>
      <c r="B78" s="63" t="s">
        <v>115</v>
      </c>
    </row>
    <row r="79" spans="1:2" ht="28" x14ac:dyDescent="0.3">
      <c r="A79" s="54"/>
      <c r="B79" s="47" t="s">
        <v>110</v>
      </c>
    </row>
    <row r="80" spans="1:2" ht="14" x14ac:dyDescent="0.3">
      <c r="A80" s="54"/>
      <c r="B80" s="54"/>
    </row>
    <row r="81" spans="1:2" ht="14" x14ac:dyDescent="0.3">
      <c r="A81" s="60" t="s">
        <v>5</v>
      </c>
      <c r="B81" s="63" t="s">
        <v>116</v>
      </c>
    </row>
    <row r="82" spans="1:2" ht="14.5" x14ac:dyDescent="0.35">
      <c r="A82" s="54"/>
      <c r="B82" s="58" t="s">
        <v>111</v>
      </c>
    </row>
    <row r="83" spans="1:2" ht="14.5" x14ac:dyDescent="0.35">
      <c r="A83" s="54"/>
      <c r="B83" s="58" t="s">
        <v>112</v>
      </c>
    </row>
    <row r="84" spans="1:2" ht="14.5" x14ac:dyDescent="0.35">
      <c r="A84" s="54"/>
      <c r="B84" s="58" t="s">
        <v>113</v>
      </c>
    </row>
    <row r="85" spans="1:2" ht="14" x14ac:dyDescent="0.3">
      <c r="A85" s="54"/>
      <c r="B85" s="57"/>
    </row>
    <row r="86" spans="1:2" ht="14" x14ac:dyDescent="0.3">
      <c r="A86" s="60" t="s">
        <v>5</v>
      </c>
      <c r="B86" s="63" t="s">
        <v>117</v>
      </c>
    </row>
    <row r="87" spans="1:2" ht="42" x14ac:dyDescent="0.3">
      <c r="A87" s="54"/>
      <c r="B87" s="47" t="s">
        <v>105</v>
      </c>
    </row>
    <row r="88" spans="1:2" ht="14.5" x14ac:dyDescent="0.35">
      <c r="A88" s="54"/>
      <c r="B88" s="56" t="s">
        <v>107</v>
      </c>
    </row>
    <row r="89" spans="1:2" ht="42" x14ac:dyDescent="0.3">
      <c r="A89" s="54"/>
      <c r="B89" s="62" t="s">
        <v>108</v>
      </c>
    </row>
    <row r="90" spans="1:2" ht="14" x14ac:dyDescent="0.3">
      <c r="A90" s="54"/>
      <c r="B90" s="54"/>
    </row>
    <row r="91" spans="1:2" ht="14" x14ac:dyDescent="0.3">
      <c r="A91" s="60" t="s">
        <v>5</v>
      </c>
      <c r="B91" s="63" t="s">
        <v>118</v>
      </c>
    </row>
    <row r="92" spans="1:2" ht="28" x14ac:dyDescent="0.3">
      <c r="A92" s="45"/>
      <c r="B92" s="58" t="s">
        <v>19</v>
      </c>
    </row>
    <row r="94" spans="1:2" x14ac:dyDescent="0.25">
      <c r="A94" s="17" t="s">
        <v>128</v>
      </c>
    </row>
  </sheetData>
  <mergeCells count="6">
    <mergeCell ref="A38:B38"/>
    <mergeCell ref="A49:B49"/>
    <mergeCell ref="A68:B68"/>
    <mergeCell ref="A13:B13"/>
    <mergeCell ref="A65:B65"/>
    <mergeCell ref="A24:B24"/>
  </mergeCells>
  <phoneticPr fontId="3" type="noConversion"/>
  <hyperlinks>
    <hyperlink ref="B9" r:id="rId1" xr:uid="{00000000-0004-0000-0200-000000000000}"/>
    <hyperlink ref="A2" r:id="rId2" xr:uid="{00000000-0004-0000-0200-000001000000}"/>
    <hyperlink ref="B36" r:id="rId3" xr:uid="{00000000-0004-0000-0200-000002000000}"/>
  </hyperlinks>
  <pageMargins left="0.5" right="0.5" top="0.25" bottom="0.25" header="0.5" footer="0.5"/>
  <pageSetup orientation="portrait" r:id="rId4"/>
  <headerFooter alignWithMargins="0"/>
  <drawing r:id="rId5"/>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9"/>
  <sheetViews>
    <sheetView showGridLines="0" workbookViewId="0"/>
  </sheetViews>
  <sheetFormatPr defaultColWidth="8.81640625" defaultRowHeight="12.5" x14ac:dyDescent="0.25"/>
  <cols>
    <col min="1" max="1" width="5.54296875" style="2" customWidth="1"/>
    <col min="2" max="2" width="82.1796875" style="2" customWidth="1"/>
  </cols>
  <sheetData>
    <row r="1" spans="1:3" ht="30" customHeight="1" x14ac:dyDescent="0.25">
      <c r="A1" s="24" t="s">
        <v>49</v>
      </c>
      <c r="B1" s="24"/>
    </row>
    <row r="2" spans="1:3" ht="15.5" x14ac:dyDescent="0.35">
      <c r="B2" s="28"/>
    </row>
    <row r="3" spans="1:3" ht="15.5" x14ac:dyDescent="0.35">
      <c r="A3" s="26"/>
      <c r="B3" s="21" t="s">
        <v>50</v>
      </c>
      <c r="C3" s="27"/>
    </row>
    <row r="4" spans="1:3" ht="14" x14ac:dyDescent="0.3">
      <c r="A4" s="6"/>
      <c r="B4" s="23" t="s">
        <v>46</v>
      </c>
      <c r="C4" s="7"/>
    </row>
    <row r="5" spans="1:3" ht="15.5" x14ac:dyDescent="0.35">
      <c r="A5" s="6"/>
      <c r="B5" s="8"/>
      <c r="C5" s="7"/>
    </row>
    <row r="6" spans="1:3" ht="15.5" x14ac:dyDescent="0.35">
      <c r="A6" s="6"/>
      <c r="B6" s="9" t="s">
        <v>128</v>
      </c>
      <c r="C6" s="7"/>
    </row>
    <row r="7" spans="1:3" ht="15.5" x14ac:dyDescent="0.35">
      <c r="A7" s="6"/>
      <c r="B7" s="8"/>
      <c r="C7" s="7"/>
    </row>
    <row r="8" spans="1:3" ht="31" x14ac:dyDescent="0.35">
      <c r="A8" s="6"/>
      <c r="B8" s="8" t="s">
        <v>51</v>
      </c>
      <c r="C8" s="7"/>
    </row>
    <row r="9" spans="1:3" ht="15.5" x14ac:dyDescent="0.35">
      <c r="A9" s="6"/>
      <c r="B9" s="8"/>
      <c r="C9" s="7"/>
    </row>
    <row r="10" spans="1:3" ht="46.5" x14ac:dyDescent="0.35">
      <c r="A10" s="6"/>
      <c r="B10" s="8" t="s">
        <v>52</v>
      </c>
      <c r="C10" s="7"/>
    </row>
    <row r="11" spans="1:3" ht="15.5" x14ac:dyDescent="0.35">
      <c r="A11" s="6"/>
      <c r="B11" s="8"/>
      <c r="C11" s="7"/>
    </row>
    <row r="12" spans="1:3" ht="46.5" x14ac:dyDescent="0.35">
      <c r="A12" s="6"/>
      <c r="B12" s="8" t="s">
        <v>53</v>
      </c>
      <c r="C12" s="7"/>
    </row>
    <row r="13" spans="1:3" ht="15.5" x14ac:dyDescent="0.35">
      <c r="A13" s="6"/>
      <c r="B13" s="8"/>
      <c r="C13" s="7"/>
    </row>
    <row r="14" spans="1:3" ht="62" x14ac:dyDescent="0.35">
      <c r="A14" s="6"/>
      <c r="B14" s="8" t="s">
        <v>54</v>
      </c>
      <c r="C14" s="7"/>
    </row>
    <row r="15" spans="1:3" ht="15.5" x14ac:dyDescent="0.35">
      <c r="A15" s="6"/>
      <c r="B15" s="8"/>
      <c r="C15" s="7"/>
    </row>
    <row r="16" spans="1:3" ht="31" x14ac:dyDescent="0.35">
      <c r="A16" s="6"/>
      <c r="B16" s="8" t="s">
        <v>55</v>
      </c>
      <c r="C16" s="7"/>
    </row>
    <row r="17" spans="1:3" ht="15.5" x14ac:dyDescent="0.35">
      <c r="A17" s="6"/>
      <c r="B17" s="8"/>
      <c r="C17" s="7"/>
    </row>
    <row r="18" spans="1:3" ht="15.5" x14ac:dyDescent="0.35">
      <c r="A18" s="6"/>
      <c r="B18" s="9" t="s">
        <v>56</v>
      </c>
      <c r="C18" s="7"/>
    </row>
    <row r="19" spans="1:3" ht="15.5" x14ac:dyDescent="0.35">
      <c r="A19" s="6"/>
      <c r="B19" s="22" t="s">
        <v>47</v>
      </c>
      <c r="C19" s="7"/>
    </row>
    <row r="20" spans="1:3" ht="15.5" x14ac:dyDescent="0.35">
      <c r="A20" s="6"/>
      <c r="B20" s="10"/>
      <c r="C20" s="7"/>
    </row>
    <row r="21" spans="1:3" x14ac:dyDescent="0.25">
      <c r="A21" s="6"/>
      <c r="B21" s="6"/>
      <c r="C21" s="7"/>
    </row>
    <row r="22" spans="1:3" x14ac:dyDescent="0.25">
      <c r="A22" s="6"/>
      <c r="B22" s="6"/>
      <c r="C22" s="7"/>
    </row>
    <row r="23" spans="1:3" x14ac:dyDescent="0.25">
      <c r="A23" s="6"/>
      <c r="B23" s="6"/>
      <c r="C23" s="7"/>
    </row>
    <row r="24" spans="1:3" x14ac:dyDescent="0.25">
      <c r="A24" s="6"/>
      <c r="B24" s="6"/>
      <c r="C24" s="7"/>
    </row>
    <row r="25" spans="1:3" x14ac:dyDescent="0.25">
      <c r="A25" s="6"/>
      <c r="B25" s="6"/>
      <c r="C25" s="7"/>
    </row>
    <row r="26" spans="1:3" x14ac:dyDescent="0.25">
      <c r="A26" s="6"/>
      <c r="B26" s="6"/>
      <c r="C26" s="7"/>
    </row>
    <row r="27" spans="1:3" x14ac:dyDescent="0.25">
      <c r="A27" s="6"/>
      <c r="B27" s="6"/>
      <c r="C27" s="7"/>
    </row>
    <row r="28" spans="1:3" x14ac:dyDescent="0.25">
      <c r="A28" s="6"/>
      <c r="B28" s="6"/>
      <c r="C28" s="7"/>
    </row>
    <row r="29" spans="1:3" x14ac:dyDescent="0.25">
      <c r="A29" s="6"/>
      <c r="B29" s="6"/>
      <c r="C29" s="7"/>
    </row>
  </sheetData>
  <hyperlinks>
    <hyperlink ref="B4" r:id="rId1" xr:uid="{00000000-0004-0000-0300-000000000000}"/>
    <hyperlink ref="B19" r:id="rId2" xr:uid="{00000000-0004-0000-0300-000001000000}"/>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GanttChart</vt:lpstr>
      <vt:lpstr>GanttChartPro</vt:lpstr>
      <vt:lpstr>Help</vt:lpstr>
      <vt:lpstr>TermsOfUse</vt:lpstr>
      <vt:lpstr>GanttChart!prevWBS</vt:lpstr>
      <vt:lpstr>GanttChartPro!Print_Area</vt:lpstr>
      <vt:lpstr>GanttChart!Print_Titles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Khalid F. Alzahrani</cp:lastModifiedBy>
  <cp:lastPrinted>2026-01-22T17:17:37Z</cp:lastPrinted>
  <dcterms:created xsi:type="dcterms:W3CDTF">2010-06-09T16:05:03Z</dcterms:created>
  <dcterms:modified xsi:type="dcterms:W3CDTF">2026-08-07T19:24:01Z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ies>
</file>